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c3c41adc4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2c95bfe4a17e4fba"/>
    <x:sheet xmlns:r="http://schemas.openxmlformats.org/officeDocument/2006/relationships" name="Portfolio Summary" sheetId="2" r:id="R90aa758081f44ccc"/>
    <x:sheet xmlns:r="http://schemas.openxmlformats.org/officeDocument/2006/relationships" name="Threshold Simulator" sheetId="3" r:id="R8a6c983834214382"/>
    <x:sheet xmlns:r="http://schemas.openxmlformats.org/officeDocument/2006/relationships" name="Data Dictionary" sheetId="4" r:id="Rbf3f0af77cc14c33"/>
    <x:sheet xmlns:r="http://schemas.openxmlformats.org/officeDocument/2006/relationships" name="Checks" sheetId="5" r:id="R8ec95aa0c19f4979"/>
    <x:sheet xmlns:r="http://schemas.openxmlformats.org/officeDocument/2006/relationships" name="Sector Risk" sheetId="6" r:id="R0441c7e4ef8b4812"/>
    <x:sheet xmlns:r="http://schemas.openxmlformats.org/officeDocument/2006/relationships" name="Model Metrics" sheetId="7" r:id="Rd29273063f5f48da"/>
    <x:sheet xmlns:r="http://schemas.openxmlformats.org/officeDocument/2006/relationships" name="High-Risk Loans" sheetId="8" r:id="R12cf4f50fdf54549"/>
    <x:sheet xmlns:r="http://schemas.openxmlformats.org/officeDocument/2006/relationships" name="Feature Importance" sheetId="9" r:id="Rb046e0bfa8fe4fa9"/>
    <x:sheet xmlns:r="http://schemas.openxmlformats.org/officeDocument/2006/relationships" name="Risk Decile" sheetId="10" r:id="R7700aef591f842e6"/>
    <x:sheet xmlns:r="http://schemas.openxmlformats.org/officeDocument/2006/relationships" name="Threshold Data" sheetId="11" r:id="R3f65332fde2f40a6"/>
    <x:sheet xmlns:r="http://schemas.openxmlformats.org/officeDocument/2006/relationships" name="Executive KPIs" sheetId="12" r:id="R176b30c0d79240d3"/>
    <x:sheet xmlns:r="http://schemas.openxmlformats.org/officeDocument/2006/relationships" name="Validation Source" sheetId="13" r:id="R8f4f2907a508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0"/>
    <x:numFmt numFmtId="201" formatCode="#,##0"/>
    <x:numFmt numFmtId="202" formatCode="$0.0,,,&quot;B&quot;"/>
    <x:numFmt numFmtId="203" formatCode="0.0%"/>
    <x:numFmt numFmtId="204" formatCode="0.000"/>
    <x:numFmt numFmtId="205" formatCode="$#,##0,,&quot;M&quot;"/>
    <x:numFmt numFmtId="206" formatCode="0.0x"/>
    <x:numFmt numFmtId="207" formatCode="0%"/>
    <x:numFmt numFmtId="208" formatCode="yyyy-mm-dd"/>
    <x:numFmt numFmtId="209" formatCode="$#,##0"/>
    <x:numFmt numFmtId="210" formatCode="0.000000"/>
  </x:numFmts>
  <x:fonts count="37">
    <x:font>
      <x:sz val="11"/>
      <x:name val="Carlito"/>
    </x:font>
    <x:font>
      <x:b/>
      <x:sz val="22"/>
      <x:color rgb="FFFFFFFF"/>
      <x:name val="Aptos Display"/>
    </x:font>
    <x:font>
      <x:b/>
      <x:sz val="12"/>
      <x:color rgb="FF1F4E78"/>
      <x:name val="Aptos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b/>
      <x:sz val="11"/>
      <x:color rgb="FF17212B"/>
      <x:name val="Carlito"/>
    </x:font>
    <x:font>
      <x:sz val="11"/>
      <x:color rgb="FF17212B"/>
      <x:name val="Carlito"/>
    </x:font>
    <x:font>
      <x:i/>
      <x:sz val="9"/>
      <x:color rgb="FF5F6B7A"/>
      <x:name val="Carlito"/>
    </x:font>
    <x:font>
      <x:b/>
      <x:sz val="18"/>
      <x:color rgb="FFFFFFFF"/>
      <x:name val="Aptos Display"/>
    </x:font>
    <x:font>
      <x:i/>
      <x:sz val="10"/>
      <x:color rgb="FF5F6B7A"/>
      <x:name val="Carlito"/>
    </x:font>
    <x:font>
      <x:b/>
      <x:sz val="11"/>
      <x:color rgb="FF5F6B7A"/>
      <x:name val="Carlito"/>
    </x:font>
    <x:font>
      <x:b/>
      <x:sz val="18"/>
      <x:color rgb="FF17212B"/>
      <x:name val="Aptos Display"/>
    </x:font>
    <x:font>
      <x:b/>
      <x:sz val="15"/>
      <x:color rgb="FF1F4E78"/>
      <x:name val="Carlito"/>
    </x:font>
    <x:font>
      <x:b/>
      <x:sz val="10"/>
      <x:color rgb="FFFFFFFF"/>
      <x:name val="Aptos"/>
    </x:font>
    <x:font>
      <x:i/>
      <x:sz val="11"/>
      <x:color rgb="FF17212B"/>
      <x:name val="Carlito"/>
    </x:font>
    <x:font>
      <x:i/>
      <x:sz val="11"/>
      <x:color rgb="FF5F6B7A"/>
      <x:name val="Carlito"/>
    </x:font>
    <x:font>
      <x:b/>
      <x:sz val="11"/>
      <x:color rgb="FF008000"/>
      <x:name val="Carlito"/>
    </x:font>
    <x:font>
      <x:b/>
      <x:sz val="11"/>
      <x:color rgb="FF0000FF"/>
      <x:name val="Carlito"/>
    </x:font>
    <x:font>
      <x:b/>
      <x:sz val="9"/>
      <x:color rgb="FF17212B"/>
      <x:name val="Aptos"/>
    </x:font>
    <x:font>
      <x:sz val="9"/>
      <x:color rgb="FF17212B"/>
      <x:name val="Aptos"/>
    </x:font>
    <x:font>
      <x:b/>
      <x:sz val="9"/>
      <x:color rgb="FFFFFFFF"/>
      <x:name val="Aptos"/>
    </x:font>
    <x:font>
      <x:b/>
      <x:sz val="14"/>
      <x:color rgb="FF2CB67D"/>
      <x:name val="Carlito"/>
    </x:font>
    <x:font>
      <x:b/>
      <x:sz val="22"/>
      <x:color rgb="FFFFFFFF"/>
      <x:name val="Aptos"/>
    </x:font>
    <x:font>
      <x:sz val="11"/>
      <x:name val="Aptos"/>
    </x:font>
    <x:font>
      <x:b/>
      <x:sz val="11"/>
      <x:color rgb="FF17212B"/>
      <x:name val="Aptos"/>
    </x:font>
    <x:font>
      <x:sz val="11"/>
      <x:color rgb="FF17212B"/>
      <x:name val="Aptos"/>
    </x:font>
    <x:font>
      <x:i/>
      <x:sz val="9"/>
      <x:color rgb="FF5F6B7A"/>
      <x:name val="Aptos"/>
    </x:font>
    <x:font>
      <x:b/>
      <x:sz val="18"/>
      <x:color rgb="FFFFFFFF"/>
      <x:name val="Aptos"/>
    </x:font>
    <x:font>
      <x:i/>
      <x:sz val="10"/>
      <x:color rgb="FF5F6B7A"/>
      <x:name val="Aptos"/>
    </x:font>
    <x:font>
      <x:b/>
      <x:sz val="11"/>
      <x:color rgb="FF5F6B7A"/>
      <x:name val="Aptos"/>
    </x:font>
    <x:font>
      <x:b/>
      <x:sz val="18"/>
      <x:color rgb="FF17212B"/>
      <x:name val="Aptos"/>
    </x:font>
    <x:font>
      <x:b/>
      <x:sz val="15"/>
      <x:color rgb="FF1F4E78"/>
      <x:name val="Aptos"/>
    </x:font>
    <x:font>
      <x:i/>
      <x:sz val="11"/>
      <x:color rgb="FF17212B"/>
      <x:name val="Aptos"/>
    </x:font>
    <x:font>
      <x:i/>
      <x:sz val="11"/>
      <x:color rgb="FF5F6B7A"/>
      <x:name val="Aptos"/>
    </x:font>
    <x:font>
      <x:b/>
      <x:sz val="11"/>
      <x:color rgb="FF008000"/>
      <x:name val="Aptos"/>
    </x:font>
    <x:font>
      <x:b/>
      <x:sz val="11"/>
      <x:color rgb="FF0000FF"/>
      <x:name val="Aptos"/>
    </x:font>
    <x:font>
      <x:b/>
      <x:sz val="14"/>
      <x:color rgb="FF2CB67D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32238"/>
      </x:patternFill>
    </x:fill>
    <x:fill>
      <x:patternFill patternType="solid">
        <x:fgColor rgb="FF1F4E78"/>
      </x:patternFill>
    </x:fill>
    <x:fill>
      <x:patternFill patternType="solid">
        <x:fgColor rgb="FF20A4F3"/>
      </x:patternFill>
    </x:fill>
    <x:fill>
      <x:patternFill patternType="solid">
        <x:fgColor rgb="FFEEF3F8"/>
      </x:patternFill>
    </x:fill>
    <x:fill>
      <x:patternFill patternType="solid">
        <x:fgColor rgb="FFFFFFFF"/>
      </x:patternFill>
    </x:fill>
    <x:fill>
      <x:patternFill patternType="solid">
        <x:fgColor rgb="FFE8F3FB"/>
      </x:patternFill>
    </x:fill>
    <x:fill>
      <x:patternFill patternType="solid">
        <x:fgColor rgb="FFFFF5D6"/>
      </x:patternFill>
    </x:fill>
    <x:fill>
      <x:patternFill patternType="solid">
        <x:fgColor rgb="FFE8F6EF"/>
      </x:patternFill>
    </x:fill>
  </x:fills>
  <x:borders count="25">
    <x:border/>
    <x:border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top style="thin">
        <x:color rgb="FFD7DEE7"/>
      </x:top>
    </x:border>
    <x:border>
      <x:top style="thin">
        <x:color rgb="FFD7DEE7"/>
      </x:top>
    </x:border>
    <x:border>
      <x:bottom style="thin">
        <x:color rgb="FFD7DEE7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1F4E78"/>
      </x:left>
      <x:right style="thin">
        <x:color rgb="FFD7DEE7"/>
      </x:right>
      <x:top style="thin">
        <x:color rgb="FF1F4E78"/>
      </x:top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1F4E78"/>
      </x:top>
      <x:bottom style="thin">
        <x:color rgb="FFD7DEE7"/>
      </x:bottom>
    </x:border>
    <x:border>
      <x:left style="thin">
        <x:color rgb="FFD7DEE7"/>
      </x:left>
      <x:top style="thin">
        <x:color rgb="FF1F4E78"/>
      </x:top>
      <x:bottom style="thin">
        <x:color rgb="FFD7DEE7"/>
      </x:bottom>
    </x:border>
    <x:border>
      <x:left style="thin">
        <x:color rgb="FF1F4E78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1F4E78"/>
      </x:left>
      <x:right style="thin">
        <x:color rgb="FFD7DEE7"/>
      </x:right>
      <x:top style="thin">
        <x:color rgb="FFD7DEE7"/>
      </x:top>
      <x:bottom style="thin">
        <x:color rgb="FF1F4E78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1F4E78"/>
      </x:bottom>
    </x:border>
    <x:border>
      <x:left style="thin">
        <x:color rgb="FFD7DEE7"/>
      </x:left>
      <x:top style="thin">
        <x:color rgb="FFD7DEE7"/>
      </x:top>
      <x:bottom style="thin">
        <x:color rgb="FF1F4E78"/>
      </x:bottom>
    </x:border>
    <x:border>
      <x:left style="thin">
        <x:color rgb="FFF4B942"/>
      </x:left>
      <x:right style="thin">
        <x:color rgb="FFF4B942"/>
      </x:right>
      <x:top style="thin">
        <x:color rgb="FFF4B942"/>
      </x:top>
    </x:border>
    <x:border>
      <x:left style="thin">
        <x:color rgb="FFF4B942"/>
      </x:left>
      <x:right style="thin">
        <x:color rgb="FFF4B942"/>
      </x:right>
      <x:bottom style="thin">
        <x:color rgb="FFF4B942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2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5" fillId="0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5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4" borderId="7" xfId="0" applyNumberFormat="1" applyFont="1" applyFill="1" applyBorder="1" applyAlignment="1">
      <x:alignment horizontal="center"/>
    </x:xf>
    <x:xf numFmtId="0" fontId="5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horizontal="center" wrapText="1"/>
    </x:xf>
    <x:xf numFmtId="0" fontId="5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horizontal="center" wrapText="1"/>
    </x:xf>
    <x:xf numFmtId="0" fontId="5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left" wrapText="1"/>
    </x:xf>
    <x:xf numFmtId="0" fontId="6" fillId="0" borderId="0" xfId="0" applyNumberFormat="1" applyFont="1" applyFill="1" applyBorder="1" applyAlignment="1">
      <x:alignment horizontal="left" vertical="center" wrapText="1"/>
    </x:xf>
    <x:xf numFmtId="200" fontId="6" fillId="0" borderId="0" xfId="0" applyNumberFormat="1" applyFont="1" applyFill="1" applyBorder="1" applyAlignment="1">
      <x:alignment horizontal="left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left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9" xfId="0" applyNumberFormat="1" applyFont="1" applyFill="1" applyBorder="1"/>
    <x:xf numFmtId="0" fontId="11" fillId="6" borderId="10" xfId="0" applyNumberFormat="1" applyFont="1" applyFill="1" applyBorder="1"/>
    <x:xf numFmtId="0" fontId="11" fillId="6" borderId="7" xfId="0" applyNumberFormat="1" applyFont="1" applyFill="1" applyBorder="1"/>
    <x:xf numFmtId="0" fontId="11" fillId="6" borderId="3" xfId="0" applyNumberFormat="1" applyFont="1" applyFill="1" applyBorder="1"/>
    <x:xf numFmtId="0" fontId="11" fillId="6" borderId="11" xfId="0" applyNumberFormat="1" applyFont="1" applyFill="1" applyBorder="1"/>
    <x:xf numFmtId="0" fontId="11" fillId="6" borderId="1" xfId="0" applyNumberFormat="1" applyFont="1" applyFill="1" applyBorder="1"/>
    <x:xf numFmtId="0" fontId="11" fillId="6" borderId="9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>
      <x:alignment horizontal="center"/>
    </x:xf>
    <x:xf numFmtId="0" fontId="11" fillId="6" borderId="7" xfId="0" applyNumberFormat="1" applyFont="1" applyFill="1" applyBorder="1" applyAlignment="1">
      <x:alignment horizontal="center"/>
    </x:xf>
    <x:xf numFmtId="0" fontId="11" fillId="6" borderId="3" xfId="0" applyNumberFormat="1" applyFont="1" applyFill="1" applyBorder="1" applyAlignment="1">
      <x:alignment horizontal="center"/>
    </x:xf>
    <x:xf numFmtId="0" fontId="11" fillId="6" borderId="11" xfId="0" applyNumberFormat="1" applyFont="1" applyFill="1" applyBorder="1" applyAlignment="1">
      <x:alignment horizontal="center"/>
    </x:xf>
    <x:xf numFmtId="0" fontId="11" fillId="6" borderId="1" xfId="0" applyNumberFormat="1" applyFont="1" applyFill="1" applyBorder="1" applyAlignment="1">
      <x:alignment horizontal="center"/>
    </x:xf>
    <x:xf numFmtId="0" fontId="11" fillId="6" borderId="9" xfId="0" applyNumberFormat="1" applyFont="1" applyFill="1" applyBorder="1" applyAlignment="1">
      <x:alignment horizontal="center" vertical="center"/>
    </x:xf>
    <x:xf numFmtId="0" fontId="11" fillId="6" borderId="10" xfId="0" applyNumberFormat="1" applyFont="1" applyFill="1" applyBorder="1" applyAlignment="1">
      <x:alignment horizontal="center" vertical="center"/>
    </x:xf>
    <x:xf numFmtId="0" fontId="11" fillId="6" borderId="7" xfId="0" applyNumberFormat="1" applyFont="1" applyFill="1" applyBorder="1" applyAlignment="1">
      <x:alignment horizontal="center" vertical="center"/>
    </x:xf>
    <x:xf numFmtId="0" fontId="11" fillId="6" borderId="3" xfId="0" applyNumberFormat="1" applyFont="1" applyFill="1" applyBorder="1" applyAlignment="1">
      <x:alignment horizontal="center" vertical="center"/>
    </x:xf>
    <x:xf numFmtId="0" fontId="11" fillId="6" borderId="11" xfId="0" applyNumberFormat="1" applyFont="1" applyFill="1" applyBorder="1" applyAlignment="1">
      <x:alignment horizontal="center" vertical="center"/>
    </x:xf>
    <x:xf numFmtId="0" fontId="11" fillId="6" borderId="1" xfId="0" applyNumberFormat="1" applyFont="1" applyFill="1" applyBorder="1" applyAlignment="1">
      <x:alignment horizontal="center" vertical="center"/>
    </x:xf>
    <x:xf numFmtId="201" fontId="11" fillId="6" borderId="9" xfId="0" applyNumberFormat="1" applyFont="1" applyFill="1" applyBorder="1" applyAlignment="1">
      <x:alignment horizontal="center" vertical="center"/>
    </x:xf>
    <x:xf numFmtId="202" fontId="11" fillId="6" borderId="10" xfId="0" applyNumberFormat="1" applyFont="1" applyFill="1" applyBorder="1" applyAlignment="1">
      <x:alignment horizontal="center" vertical="center"/>
    </x:xf>
    <x:xf numFmtId="203" fontId="11" fillId="6" borderId="1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9" xfId="0" applyNumberFormat="1" applyFont="1" applyFill="1" applyBorder="1"/>
    <x:xf numFmtId="0" fontId="12" fillId="7" borderId="10" xfId="0" applyNumberFormat="1" applyFont="1" applyFill="1" applyBorder="1"/>
    <x:xf numFmtId="0" fontId="12" fillId="7" borderId="7" xfId="0" applyNumberFormat="1" applyFont="1" applyFill="1" applyBorder="1"/>
    <x:xf numFmtId="0" fontId="12" fillId="7" borderId="3" xfId="0" applyNumberFormat="1" applyFont="1" applyFill="1" applyBorder="1"/>
    <x:xf numFmtId="0" fontId="12" fillId="7" borderId="11" xfId="0" applyNumberFormat="1" applyFont="1" applyFill="1" applyBorder="1"/>
    <x:xf numFmtId="0" fontId="12" fillId="7" borderId="1" xfId="0" applyNumberFormat="1" applyFont="1" applyFill="1" applyBorder="1"/>
    <x:xf numFmtId="0" fontId="12" fillId="7" borderId="9" xfId="0" applyNumberFormat="1" applyFont="1" applyFill="1" applyBorder="1" applyAlignment="1">
      <x:alignment horizontal="center"/>
    </x:xf>
    <x:xf numFmtId="0" fontId="12" fillId="7" borderId="10" xfId="0" applyNumberFormat="1" applyFont="1" applyFill="1" applyBorder="1" applyAlignment="1">
      <x:alignment horizontal="center"/>
    </x:xf>
    <x:xf numFmtId="0" fontId="12" fillId="7" borderId="7" xfId="0" applyNumberFormat="1" applyFont="1" applyFill="1" applyBorder="1" applyAlignment="1">
      <x:alignment horizontal="center"/>
    </x:xf>
    <x:xf numFmtId="0" fontId="12" fillId="7" borderId="3" xfId="0" applyNumberFormat="1" applyFont="1" applyFill="1" applyBorder="1" applyAlignment="1">
      <x:alignment horizontal="center"/>
    </x:xf>
    <x:xf numFmtId="0" fontId="12" fillId="7" borderId="11" xfId="0" applyNumberFormat="1" applyFont="1" applyFill="1" applyBorder="1" applyAlignment="1">
      <x:alignment horizontal="center"/>
    </x:xf>
    <x:xf numFmtId="0" fontId="12" fillId="7" borderId="1" xfId="0" applyNumberFormat="1" applyFont="1" applyFill="1" applyBorder="1" applyAlignment="1">
      <x:alignment horizontal="center"/>
    </x:xf>
    <x:xf numFmtId="0" fontId="12" fillId="7" borderId="9" xfId="0" applyNumberFormat="1" applyFont="1" applyFill="1" applyBorder="1" applyAlignment="1">
      <x:alignment horizontal="center" vertical="center"/>
    </x:xf>
    <x:xf numFmtId="0" fontId="12" fillId="7" borderId="10" xfId="0" applyNumberFormat="1" applyFont="1" applyFill="1" applyBorder="1" applyAlignment="1">
      <x:alignment horizontal="center" vertical="center"/>
    </x:xf>
    <x:xf numFmtId="0" fontId="12" fillId="7" borderId="7" xfId="0" applyNumberFormat="1" applyFont="1" applyFill="1" applyBorder="1" applyAlignment="1">
      <x:alignment horizontal="center" vertical="center"/>
    </x:xf>
    <x:xf numFmtId="0" fontId="12" fillId="7" borderId="3" xfId="0" applyNumberFormat="1" applyFont="1" applyFill="1" applyBorder="1" applyAlignment="1">
      <x:alignment horizontal="center" vertical="center"/>
    </x:xf>
    <x:xf numFmtId="0" fontId="12" fillId="7" borderId="11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horizontal="center" vertical="center"/>
    </x:xf>
    <x:xf numFmtId="204" fontId="12" fillId="7" borderId="10" xfId="0" applyNumberFormat="1" applyFont="1" applyFill="1" applyBorder="1" applyAlignment="1">
      <x:alignment horizontal="center" vertical="center"/>
    </x:xf>
    <x:xf numFmtId="0" fontId="13" fillId="3" borderId="0" xfId="0" applyNumberFormat="1" applyFont="1" applyFill="1" applyBorder="1"/>
    <x:xf numFmtId="0" fontId="13" fillId="3" borderId="12" xfId="0" applyNumberFormat="1" applyFont="1" applyFill="1" applyBorder="1"/>
    <x:xf numFmtId="0" fontId="13" fillId="3" borderId="13" xfId="0" applyNumberFormat="1" applyFont="1" applyFill="1" applyBorder="1"/>
    <x:xf numFmtId="0" fontId="13" fillId="3" borderId="14" xfId="0" applyNumberFormat="1" applyFont="1" applyFill="1" applyBorder="1"/>
    <x:xf numFmtId="0" fontId="13" fillId="3" borderId="12" xfId="0" applyNumberFormat="1" applyFont="1" applyFill="1" applyBorder="1" applyAlignment="1">
      <x:alignment wrapText="1"/>
    </x:xf>
    <x:xf numFmtId="0" fontId="13" fillId="3" borderId="13" xfId="0" applyNumberFormat="1" applyFont="1" applyFill="1" applyBorder="1" applyAlignment="1">
      <x:alignment wrapText="1"/>
    </x:xf>
    <x:xf numFmtId="0" fontId="13" fillId="3" borderId="14" xfId="0" applyNumberFormat="1" applyFont="1" applyFill="1" applyBorder="1" applyAlignment="1">
      <x:alignment wrapText="1"/>
    </x:xf>
    <x:xf numFmtId="0" fontId="13" fillId="3" borderId="12" xfId="0" applyNumberFormat="1" applyFont="1" applyFill="1" applyBorder="1" applyAlignment="1">
      <x:alignment vertical="center" wrapText="1"/>
    </x:xf>
    <x:xf numFmtId="0" fontId="13" fillId="3" borderId="13" xfId="0" applyNumberFormat="1" applyFont="1" applyFill="1" applyBorder="1" applyAlignment="1">
      <x:alignment vertical="center" wrapText="1"/>
    </x:xf>
    <x:xf numFmtId="0" fontId="13" fillId="3" borderId="14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5" fontId="0" fillId="0" borderId="0" xfId="0" applyNumberFormat="1" applyFont="1" applyFill="1" applyBorder="1"/>
    <x:xf numFmtId="0" fontId="13" fillId="3" borderId="15" xfId="0" applyNumberFormat="1" applyFont="1" applyFill="1" applyBorder="1" applyAlignment="1">
      <x:alignment vertical="center" wrapText="1"/>
    </x:xf>
    <x:xf numFmtId="0" fontId="13" fillId="3" borderId="16" xfId="0" applyNumberFormat="1" applyFont="1" applyFill="1" applyBorder="1" applyAlignment="1">
      <x:alignment vertical="center" wrapText="1"/>
    </x:xf>
    <x:xf numFmtId="0" fontId="13" fillId="3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/>
    <x:xf numFmtId="203" fontId="0" fillId="0" borderId="5" xfId="0" applyNumberFormat="1" applyFont="1" applyFill="1" applyBorder="1"/>
    <x:xf numFmtId="205" fontId="0" fillId="0" borderId="6" xfId="0" applyNumberFormat="1" applyFont="1" applyFill="1" applyBorder="1"/>
    <x:xf numFmtId="0" fontId="0" fillId="0" borderId="19" xfId="0" applyNumberFormat="1" applyFont="1" applyFill="1" applyBorder="1"/>
    <x:xf numFmtId="203" fontId="0" fillId="0" borderId="20" xfId="0" applyNumberFormat="1" applyFont="1" applyFill="1" applyBorder="1"/>
    <x:xf numFmtId="205" fontId="0" fillId="0" borderId="21" xfId="0" applyNumberFormat="1" applyFont="1" applyFill="1" applyBorder="1"/>
    <x:xf numFmtId="206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0" fontId="14" fillId="8" borderId="0" xfId="0" applyNumberFormat="1" applyFont="1" applyFill="1" applyBorder="1" applyAlignment="1">
      <x:alignment wrapText="1"/>
    </x:xf>
    <x:xf numFmtId="0" fontId="14" fillId="8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22" xfId="0" applyNumberFormat="1" applyFont="1" applyFill="1" applyBorder="1"/>
    <x:xf numFmtId="0" fontId="17" fillId="8" borderId="23" xfId="0" applyNumberFormat="1" applyFont="1" applyFill="1" applyBorder="1"/>
    <x:xf numFmtId="200" fontId="17" fillId="8" borderId="22" xfId="0" applyNumberFormat="1" applyFont="1" applyFill="1" applyBorder="1"/>
    <x:xf numFmtId="200" fontId="17" fillId="8" borderId="23" xfId="0" applyNumberFormat="1" applyFont="1" applyFill="1" applyBorder="1"/>
    <x:xf numFmtId="203" fontId="17" fillId="8" borderId="23" xfId="0" applyNumberFormat="1" applyFont="1" applyFill="1" applyBorder="1"/>
    <x:xf numFmtId="201" fontId="0" fillId="0" borderId="0" xfId="0" applyNumberFormat="1" applyFont="1" applyFill="1" applyBorder="1"/>
    <x:xf numFmtId="0" fontId="5" fillId="5" borderId="1" xfId="0" applyNumberFormat="1" applyFont="1" applyFill="1" applyBorder="1"/>
    <x:xf numFmtId="203" fontId="0" fillId="0" borderId="3" xfId="0" applyNumberFormat="1" applyFont="1" applyFill="1" applyBorder="1"/>
    <x:xf numFmtId="0" fontId="5" fillId="5" borderId="4" xfId="0" applyNumberFormat="1" applyFont="1" applyFill="1" applyBorder="1"/>
    <x:xf numFmtId="203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5" fillId="5" borderId="7" xfId="0" applyNumberFormat="1" applyFont="1" applyFill="1" applyBorder="1"/>
    <x:xf numFmtId="205" fontId="0" fillId="0" borderId="9" xfId="0" applyNumberFormat="1" applyFont="1" applyFill="1" applyBorder="1"/>
    <x:xf numFmtId="200" fontId="0" fillId="0" borderId="0" xfId="0" applyNumberFormat="1" applyFont="1" applyFill="1" applyBorder="1"/>
    <x:xf numFmtId="207" fontId="0" fillId="0" borderId="0" xfId="0" applyNumberFormat="1" applyFont="1" applyFill="1" applyBorder="1"/>
    <x:xf numFmtId="0" fontId="18" fillId="3" borderId="12" xfId="0" applyNumberFormat="1" applyFont="1" applyFill="1" applyBorder="1" applyAlignment="1">
      <x:alignment vertical="center" wrapText="1"/>
    </x:xf>
    <x:xf numFmtId="0" fontId="18" fillId="3" borderId="13" xfId="0" applyNumberFormat="1" applyFont="1" applyFill="1" applyBorder="1" applyAlignment="1">
      <x:alignment vertical="center" wrapText="1"/>
    </x:xf>
    <x:xf numFmtId="0" fontId="18" fillId="3" borderId="14" xfId="0" applyNumberFormat="1" applyFont="1" applyFill="1" applyBorder="1" applyAlignment="1">
      <x:alignment vertical="center" wrapText="1"/>
    </x:xf>
    <x:xf numFmtId="0" fontId="19" fillId="0" borderId="0" xfId="0" applyNumberFormat="1" applyFont="1" applyFill="1" applyBorder="1"/>
    <x:xf numFmtId="0" fontId="20" fillId="3" borderId="12" xfId="0" applyNumberFormat="1" applyFont="1" applyFill="1" applyBorder="1" applyAlignment="1">
      <x:alignment vertical="center" wrapText="1"/>
    </x:xf>
    <x:xf numFmtId="0" fontId="20" fillId="3" borderId="13" xfId="0" applyNumberFormat="1" applyFont="1" applyFill="1" applyBorder="1" applyAlignment="1">
      <x:alignment vertical="center" wrapText="1"/>
    </x:xf>
    <x:xf numFmtId="0" fontId="20" fillId="3" borderId="14" xfId="0" applyNumberFormat="1" applyFont="1" applyFill="1" applyBorder="1" applyAlignment="1">
      <x:alignment vertical="center" wrapText="1"/>
    </x:xf>
    <x:xf numFmtId="205" fontId="19" fillId="0" borderId="0" xfId="0" applyNumberFormat="1" applyFont="1" applyFill="1" applyBorder="1"/>
    <x:xf numFmtId="203" fontId="19" fillId="0" borderId="0" xfId="0" applyNumberFormat="1" applyFont="1" applyFill="1" applyBorder="1"/>
    <x:xf numFmtId="201" fontId="19" fillId="0" borderId="0" xfId="0" applyNumberFormat="1" applyFont="1" applyFill="1" applyBorder="1"/>
    <x:xf numFmtId="204" fontId="19" fillId="0" borderId="0" xfId="0" applyNumberFormat="1" applyFont="1" applyFill="1" applyBorder="1"/>
    <x:xf numFmtId="208" fontId="19" fillId="0" borderId="0" xfId="0" applyNumberFormat="1" applyFont="1" applyFill="1" applyBorder="1"/>
    <x:xf numFmtId="209" fontId="19" fillId="0" borderId="0" xfId="0" applyNumberFormat="1" applyFont="1" applyFill="1" applyBorder="1"/>
    <x:xf numFmtId="206" fontId="19" fillId="0" borderId="0" xfId="0" applyNumberFormat="1" applyFont="1" applyFill="1" applyBorder="1"/>
    <x:xf numFmtId="0" fontId="13" fillId="3" borderId="24" xfId="0" applyNumberFormat="1" applyFont="1" applyFill="1" applyBorder="1"/>
    <x:xf numFmtId="0" fontId="13" fillId="3" borderId="24" xfId="0" applyNumberFormat="1" applyFont="1" applyFill="1" applyBorder="1" applyAlignment="1">
      <x:alignment wrapText="1"/>
    </x:xf>
    <x:xf numFmtId="0" fontId="13" fillId="3" borderId="24" xfId="0" applyNumberFormat="1" applyFont="1" applyFill="1" applyBorder="1" applyAlignment="1">
      <x:alignment vertical="center" wrapText="1"/>
    </x:xf>
    <x:xf numFmtId="209" fontId="0" fillId="0" borderId="0" xfId="0" applyNumberFormat="1" applyFont="1" applyFill="1" applyBorder="1"/>
    <x:xf numFmtId="210" fontId="19" fillId="0" borderId="0" xfId="0" applyNumberFormat="1" applyFont="1" applyFill="1" applyBorder="1"/>
    <x:xf numFmtId="0" fontId="19" fillId="0" borderId="1" xfId="0" applyNumberFormat="1" applyFont="1" applyFill="1" applyBorder="1"/>
    <x:xf numFmtId="0" fontId="19" fillId="0" borderId="2" xfId="0" applyNumberFormat="1" applyFont="1" applyFill="1" applyBorder="1"/>
    <x:xf numFmtId="0" fontId="19" fillId="0" borderId="3" xfId="0" applyNumberFormat="1" applyFont="1" applyFill="1" applyBorder="1"/>
    <x:xf numFmtId="0" fontId="19" fillId="0" borderId="4" xfId="0" applyNumberFormat="1" applyFont="1" applyFill="1" applyBorder="1"/>
    <x:xf numFmtId="0" fontId="19" fillId="0" borderId="5" xfId="0" applyNumberFormat="1" applyFont="1" applyFill="1" applyBorder="1"/>
    <x:xf numFmtId="0" fontId="19" fillId="0" borderId="6" xfId="0" applyNumberFormat="1" applyFont="1" applyFill="1" applyBorder="1"/>
    <x:xf numFmtId="0" fontId="19" fillId="0" borderId="7" xfId="0" applyNumberFormat="1" applyFont="1" applyFill="1" applyBorder="1"/>
    <x:xf numFmtId="0" fontId="19" fillId="0" borderId="8" xfId="0" applyNumberFormat="1" applyFont="1" applyFill="1" applyBorder="1"/>
    <x:xf numFmtId="0" fontId="19" fillId="0" borderId="9" xfId="0" applyNumberFormat="1" applyFont="1" applyFill="1" applyBorder="1"/>
    <x:xf numFmtId="0" fontId="19" fillId="0" borderId="1" xfId="0" applyNumberFormat="1" applyFont="1" applyFill="1" applyBorder="1" applyAlignment="1">
      <x:alignment wrapText="1"/>
    </x:xf>
    <x:xf numFmtId="0" fontId="19" fillId="0" borderId="2" xfId="0" applyNumberFormat="1" applyFont="1" applyFill="1" applyBorder="1" applyAlignment="1">
      <x:alignment wrapText="1"/>
    </x:xf>
    <x:xf numFmtId="0" fontId="19" fillId="0" borderId="3" xfId="0" applyNumberFormat="1" applyFont="1" applyFill="1" applyBorder="1" applyAlignment="1">
      <x:alignment wrapText="1"/>
    </x:xf>
    <x:xf numFmtId="0" fontId="19" fillId="0" borderId="4" xfId="0" applyNumberFormat="1" applyFont="1" applyFill="1" applyBorder="1" applyAlignment="1">
      <x:alignment wrapText="1"/>
    </x:xf>
    <x:xf numFmtId="0" fontId="19" fillId="0" borderId="5" xfId="0" applyNumberFormat="1" applyFont="1" applyFill="1" applyBorder="1" applyAlignment="1">
      <x:alignment wrapText="1"/>
    </x:xf>
    <x:xf numFmtId="0" fontId="19" fillId="0" borderId="6" xfId="0" applyNumberFormat="1" applyFont="1" applyFill="1" applyBorder="1" applyAlignment="1">
      <x:alignment wrapText="1"/>
    </x:xf>
    <x:xf numFmtId="0" fontId="19" fillId="0" borderId="7" xfId="0" applyNumberFormat="1" applyFont="1" applyFill="1" applyBorder="1" applyAlignment="1">
      <x:alignment wrapText="1"/>
    </x:xf>
    <x:xf numFmtId="0" fontId="19" fillId="0" borderId="8" xfId="0" applyNumberFormat="1" applyFont="1" applyFill="1" applyBorder="1" applyAlignment="1">
      <x:alignment wrapText="1"/>
    </x:xf>
    <x:xf numFmtId="0" fontId="19" fillId="0" borderId="9" xfId="0" applyNumberFormat="1" applyFont="1" applyFill="1" applyBorder="1" applyAlignment="1">
      <x:alignment wrapText="1"/>
    </x:xf>
    <x:xf numFmtId="0" fontId="19" fillId="0" borderId="1" xfId="0" applyNumberFormat="1" applyFont="1" applyFill="1" applyBorder="1" applyAlignment="1">
      <x:alignment vertical="top" wrapText="1"/>
    </x:xf>
    <x:xf numFmtId="0" fontId="19" fillId="0" borderId="2" xfId="0" applyNumberFormat="1" applyFont="1" applyFill="1" applyBorder="1" applyAlignment="1">
      <x:alignment vertical="top" wrapText="1"/>
    </x:xf>
    <x:xf numFmtId="0" fontId="19" fillId="0" borderId="3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vertical="top" wrapText="1"/>
    </x:xf>
    <x:xf numFmtId="0" fontId="19" fillId="0" borderId="5" xfId="0" applyNumberFormat="1" applyFont="1" applyFill="1" applyBorder="1" applyAlignment="1">
      <x:alignment vertical="top" wrapText="1"/>
    </x:xf>
    <x:xf numFmtId="0" fontId="19" fillId="0" borderId="6" xfId="0" applyNumberFormat="1" applyFont="1" applyFill="1" applyBorder="1" applyAlignment="1">
      <x:alignment vertical="top" wrapText="1"/>
    </x:xf>
    <x:xf numFmtId="0" fontId="19" fillId="0" borderId="7" xfId="0" applyNumberFormat="1" applyFont="1" applyFill="1" applyBorder="1" applyAlignment="1">
      <x:alignment vertical="top" wrapText="1"/>
    </x:xf>
    <x:xf numFmtId="0" fontId="19" fillId="0" borderId="8" xfId="0" applyNumberFormat="1" applyFont="1" applyFill="1" applyBorder="1" applyAlignment="1">
      <x:alignment vertical="top" wrapText="1"/>
    </x:xf>
    <x:xf numFmtId="0" fontId="19" fillId="0" borderId="9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21" fillId="9" borderId="0" xfId="0" applyNumberFormat="1" applyFont="1" applyFill="1" applyBorder="1"/>
    <x:xf numFmtId="0" fontId="21" fillId="9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0" fontId="22" fillId="2" borderId="0" xfId="0" applyNumberFormat="1" applyFont="1" applyFill="1" applyBorder="1" applyAlignment="1">
      <x:alignment horizontal="left" vertical="center"/>
    </x:xf>
    <x:xf numFmtId="0" fontId="23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24" fillId="0" borderId="2" xfId="0" applyNumberFormat="1" applyFont="1" applyFill="1" applyBorder="1" applyAlignment="1">
      <x:alignment vertical="center" wrapText="1"/>
    </x:xf>
    <x:xf numFmtId="0" fontId="23" fillId="0" borderId="2" xfId="0" applyNumberFormat="1" applyFont="1" applyFill="1" applyBorder="1" applyAlignment="1">
      <x:alignment vertical="center" wrapText="1"/>
    </x:xf>
    <x:xf numFmtId="0" fontId="23" fillId="0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24" fillId="0" borderId="5" xfId="0" applyNumberFormat="1" applyFont="1" applyFill="1" applyBorder="1" applyAlignment="1">
      <x:alignment vertical="center" wrapText="1"/>
    </x:xf>
    <x:xf numFmtId="0" fontId="23" fillId="0" borderId="5" xfId="0" applyNumberFormat="1" applyFont="1" applyFill="1" applyBorder="1" applyAlignment="1">
      <x:alignment vertical="center" wrapText="1"/>
    </x:xf>
    <x:xf numFmtId="0" fontId="23" fillId="0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24" fillId="0" borderId="8" xfId="0" applyNumberFormat="1" applyFont="1" applyFill="1" applyBorder="1" applyAlignment="1">
      <x:alignment vertical="center" wrapText="1"/>
    </x:xf>
    <x:xf numFmtId="0" fontId="23" fillId="0" borderId="8" xfId="0" applyNumberFormat="1" applyFont="1" applyFill="1" applyBorder="1" applyAlignment="1">
      <x:alignment vertical="center" wrapText="1"/>
    </x:xf>
    <x:xf numFmtId="0" fontId="23" fillId="0" borderId="9" xfId="0" applyNumberFormat="1" applyFont="1" applyFill="1" applyBorder="1" applyAlignment="1">
      <x:alignment vertical="center" wrapText="1"/>
    </x:xf>
    <x:xf numFmtId="0" fontId="24" fillId="5" borderId="0" xfId="0" applyNumberFormat="1" applyFont="1" applyFill="1" applyBorder="1"/>
    <x:xf numFmtId="0" fontId="25" fillId="0" borderId="0" xfId="0" applyNumberFormat="1" applyFont="1" applyFill="1" applyBorder="1" applyAlignment="1">
      <x:alignment horizontal="left" vertical="center" wrapText="1"/>
    </x:xf>
    <x:xf numFmtId="200" fontId="25" fillId="0" borderId="0" xfId="0" applyNumberFormat="1" applyFont="1" applyFill="1" applyBorder="1" applyAlignment="1">
      <x:alignment horizontal="left" vertical="center" wrapText="1"/>
    </x:xf>
    <x:xf numFmtId="0" fontId="26" fillId="0" borderId="0" xfId="0" applyNumberFormat="1" applyFont="1" applyFill="1" applyBorder="1" applyAlignment="1">
      <x:alignment wrapText="1"/>
    </x:xf>
    <x:xf numFmtId="0" fontId="27" fillId="2" borderId="0" xfId="0" applyNumberFormat="1" applyFont="1" applyFill="1" applyBorder="1" applyAlignment="1">
      <x:alignment horizontal="left" vertical="center"/>
    </x:xf>
    <x:xf numFmtId="0" fontId="28" fillId="0" borderId="0" xfId="0" applyNumberFormat="1" applyFont="1" applyFill="1" applyBorder="1"/>
    <x:xf numFmtId="0" fontId="29" fillId="5" borderId="0" xfId="0" applyNumberFormat="1" applyFont="1" applyFill="1" applyBorder="1" applyAlignment="1">
      <x:alignment horizontal="center"/>
    </x:xf>
    <x:xf numFmtId="201" fontId="30" fillId="6" borderId="9" xfId="0" applyNumberFormat="1" applyFont="1" applyFill="1" applyBorder="1" applyAlignment="1">
      <x:alignment horizontal="center" vertical="center"/>
    </x:xf>
    <x:xf numFmtId="0" fontId="30" fillId="6" borderId="10" xfId="0" applyNumberFormat="1" applyFont="1" applyFill="1" applyBorder="1" applyAlignment="1">
      <x:alignment horizontal="center" vertical="center"/>
    </x:xf>
    <x:xf numFmtId="202" fontId="30" fillId="6" borderId="10" xfId="0" applyNumberFormat="1" applyFont="1" applyFill="1" applyBorder="1" applyAlignment="1">
      <x:alignment horizontal="center" vertical="center"/>
    </x:xf>
    <x:xf numFmtId="203" fontId="30" fillId="6" borderId="10" xfId="0" applyNumberFormat="1" applyFont="1" applyFill="1" applyBorder="1" applyAlignment="1">
      <x:alignment horizontal="center" vertical="center"/>
    </x:xf>
    <x:xf numFmtId="0" fontId="30" fillId="6" borderId="7" xfId="0" applyNumberFormat="1" applyFont="1" applyFill="1" applyBorder="1" applyAlignment="1">
      <x:alignment horizontal="center" vertical="center"/>
    </x:xf>
    <x:xf numFmtId="0" fontId="30" fillId="6" borderId="3" xfId="0" applyNumberFormat="1" applyFont="1" applyFill="1" applyBorder="1" applyAlignment="1">
      <x:alignment horizontal="center" vertical="center"/>
    </x:xf>
    <x:xf numFmtId="0" fontId="30" fillId="6" borderId="11" xfId="0" applyNumberFormat="1" applyFont="1" applyFill="1" applyBorder="1" applyAlignment="1">
      <x:alignment horizontal="center" vertical="center"/>
    </x:xf>
    <x:xf numFmtId="0" fontId="30" fillId="6" borderId="1" xfId="0" applyNumberFormat="1" applyFont="1" applyFill="1" applyBorder="1" applyAlignment="1">
      <x:alignment horizontal="center" vertical="center"/>
    </x:xf>
    <x:xf numFmtId="0" fontId="31" fillId="7" borderId="9" xfId="0" applyNumberFormat="1" applyFont="1" applyFill="1" applyBorder="1" applyAlignment="1">
      <x:alignment horizontal="center" vertical="center"/>
    </x:xf>
    <x:xf numFmtId="0" fontId="31" fillId="7" borderId="10" xfId="0" applyNumberFormat="1" applyFont="1" applyFill="1" applyBorder="1" applyAlignment="1">
      <x:alignment horizontal="center" vertical="center"/>
    </x:xf>
    <x:xf numFmtId="204" fontId="31" fillId="7" borderId="10" xfId="0" applyNumberFormat="1" applyFont="1" applyFill="1" applyBorder="1" applyAlignment="1">
      <x:alignment horizontal="center" vertical="center"/>
    </x:xf>
    <x:xf numFmtId="0" fontId="31" fillId="7" borderId="7" xfId="0" applyNumberFormat="1" applyFont="1" applyFill="1" applyBorder="1" applyAlignment="1">
      <x:alignment horizontal="center" vertical="center"/>
    </x:xf>
    <x:xf numFmtId="0" fontId="31" fillId="7" borderId="3" xfId="0" applyNumberFormat="1" applyFont="1" applyFill="1" applyBorder="1" applyAlignment="1">
      <x:alignment horizontal="center" vertical="center"/>
    </x:xf>
    <x:xf numFmtId="0" fontId="31" fillId="7" borderId="11" xfId="0" applyNumberFormat="1" applyFont="1" applyFill="1" applyBorder="1" applyAlignment="1">
      <x:alignment horizontal="center" vertical="center"/>
    </x:xf>
    <x:xf numFmtId="0" fontId="31" fillId="7" borderId="1" xfId="0" applyNumberFormat="1" applyFont="1" applyFill="1" applyBorder="1" applyAlignment="1">
      <x:alignment horizontal="center" vertical="center"/>
    </x:xf>
    <x:xf numFmtId="0" fontId="23" fillId="0" borderId="18" xfId="0" applyNumberFormat="1" applyFont="1" applyFill="1" applyBorder="1"/>
    <x:xf numFmtId="203" fontId="23" fillId="0" borderId="5" xfId="0" applyNumberFormat="1" applyFont="1" applyFill="1" applyBorder="1"/>
    <x:xf numFmtId="205" fontId="23" fillId="0" borderId="6" xfId="0" applyNumberFormat="1" applyFont="1" applyFill="1" applyBorder="1"/>
    <x:xf numFmtId="0" fontId="23" fillId="0" borderId="19" xfId="0" applyNumberFormat="1" applyFont="1" applyFill="1" applyBorder="1"/>
    <x:xf numFmtId="203" fontId="23" fillId="0" borderId="20" xfId="0" applyNumberFormat="1" applyFont="1" applyFill="1" applyBorder="1"/>
    <x:xf numFmtId="205" fontId="23" fillId="0" borderId="21" xfId="0" applyNumberFormat="1" applyFont="1" applyFill="1" applyBorder="1"/>
    <x:xf numFmtId="203" fontId="23" fillId="0" borderId="0" xfId="0" applyNumberFormat="1" applyFont="1" applyFill="1" applyBorder="1"/>
    <x:xf numFmtId="206" fontId="23" fillId="0" borderId="0" xfId="0" applyNumberFormat="1" applyFont="1" applyFill="1" applyBorder="1"/>
    <x:xf numFmtId="0" fontId="32" fillId="8" borderId="0" xfId="0" applyNumberFormat="1" applyFont="1" applyFill="1" applyBorder="1" applyAlignment="1">
      <x:alignment vertical="center" wrapText="1"/>
    </x:xf>
    <x:xf numFmtId="0" fontId="33" fillId="0" borderId="0" xfId="0" applyNumberFormat="1" applyFont="1" applyFill="1" applyBorder="1" applyAlignment="1">
      <x:alignment wrapText="1"/>
    </x:xf>
    <x:xf numFmtId="0" fontId="34" fillId="0" borderId="0" xfId="0" applyNumberFormat="1" applyFont="1" applyFill="1" applyBorder="1"/>
    <x:xf numFmtId="200" fontId="35" fillId="8" borderId="22" xfId="0" applyNumberFormat="1" applyFont="1" applyFill="1" applyBorder="1"/>
    <x:xf numFmtId="203" fontId="35" fillId="8" borderId="23" xfId="0" applyNumberFormat="1" applyFont="1" applyFill="1" applyBorder="1"/>
    <x:xf numFmtId="0" fontId="24" fillId="5" borderId="1" xfId="0" applyNumberFormat="1" applyFont="1" applyFill="1" applyBorder="1"/>
    <x:xf numFmtId="203" fontId="23" fillId="0" borderId="3" xfId="0" applyNumberFormat="1" applyFont="1" applyFill="1" applyBorder="1"/>
    <x:xf numFmtId="0" fontId="24" fillId="5" borderId="4" xfId="0" applyNumberFormat="1" applyFont="1" applyFill="1" applyBorder="1"/>
    <x:xf numFmtId="203" fontId="23" fillId="0" borderId="6" xfId="0" applyNumberFormat="1" applyFont="1" applyFill="1" applyBorder="1"/>
    <x:xf numFmtId="201" fontId="23" fillId="0" borderId="6" xfId="0" applyNumberFormat="1" applyFont="1" applyFill="1" applyBorder="1"/>
    <x:xf numFmtId="0" fontId="24" fillId="5" borderId="7" xfId="0" applyNumberFormat="1" applyFont="1" applyFill="1" applyBorder="1"/>
    <x:xf numFmtId="205" fontId="23" fillId="0" borderId="9" xfId="0" applyNumberFormat="1" applyFont="1" applyFill="1" applyBorder="1"/>
    <x:xf numFmtId="0" fontId="32" fillId="8" borderId="0" xfId="0" applyNumberFormat="1" applyFont="1" applyFill="1" applyBorder="1" applyAlignment="1">
      <x:alignment wrapText="1"/>
    </x:xf>
    <x:xf numFmtId="200" fontId="23" fillId="0" borderId="0" xfId="0" applyNumberFormat="1" applyFont="1" applyFill="1" applyBorder="1"/>
    <x:xf numFmtId="207" fontId="23" fillId="0" borderId="0" xfId="0" applyNumberFormat="1" applyFont="1" applyFill="1" applyBorder="1"/>
    <x:xf numFmtId="0" fontId="36" fillId="9" borderId="0" xfId="0" applyNumberFormat="1" applyFont="1" applyFill="1" applyBorder="1" applyAlignment="1">
      <x:alignment horizontal="center"/>
    </x:xf>
    <x:xf numFmtId="0" fontId="23" fillId="0" borderId="1" xfId="0" applyNumberFormat="1" applyFont="1" applyFill="1" applyBorder="1"/>
    <x:xf numFmtId="0" fontId="23" fillId="0" borderId="2" xfId="0" applyNumberFormat="1" applyFont="1" applyFill="1" applyBorder="1"/>
    <x:xf numFmtId="0" fontId="23" fillId="0" borderId="3" xfId="0" applyNumberFormat="1" applyFont="1" applyFill="1" applyBorder="1"/>
    <x:xf numFmtId="0" fontId="23" fillId="0" borderId="4" xfId="0" applyNumberFormat="1" applyFont="1" applyFill="1" applyBorder="1"/>
    <x:xf numFmtId="0" fontId="23" fillId="0" borderId="5" xfId="0" applyNumberFormat="1" applyFont="1" applyFill="1" applyBorder="1"/>
    <x:xf numFmtId="0" fontId="23" fillId="0" borderId="6" xfId="0" applyNumberFormat="1" applyFont="1" applyFill="1" applyBorder="1"/>
    <x:xf numFmtId="0" fontId="23" fillId="0" borderId="7" xfId="0" applyNumberFormat="1" applyFont="1" applyFill="1" applyBorder="1"/>
    <x:xf numFmtId="0" fontId="23" fillId="0" borderId="8" xfId="0" applyNumberFormat="1" applyFont="1" applyFill="1" applyBorder="1"/>
    <x:xf numFmtId="0" fontId="23" fillId="0" borderId="9" xfId="0" applyNumberFormat="1" applyFont="1" applyFill="1" applyBorder="1"/>
  </x:cellXfs>
  <x:cellStyles count="1">
    <x:cellStyle name="Normal" xfId="0"/>
  </x:cellStyles>
  <x:dxfs count="3">
    <x:dxf>
      <x:font>
        <x:b/>
        <x:color rgb="FF17212B"/>
      </x:font>
      <x:fill>
        <x:patternFill patternType="solid">
          <x:bgColor rgb="FFFFF5D6"/>
        </x:patternFill>
      </x:fill>
    </x:dxf>
    <x:dxf>
      <x:font>
        <x:b/>
        <x:color rgb="FF2CB67D"/>
      </x:font>
      <x:fill>
        <x:patternFill patternType="solid">
          <x:bgColor rgb="FFE8F6EF"/>
        </x:patternFill>
      </x:fill>
    </x:dxf>
    <x:dxf>
      <x:font>
        <x:b/>
        <x:color rgb="FFD64550"/>
      </x:font>
      <x:fill>
        <x:patternFill patternType="solid">
          <x:bgColor rgb="FFFBEA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713f44db514fce" /><Relationship Type="http://schemas.openxmlformats.org/officeDocument/2006/relationships/theme" Target="/xl/theme/theme1.xml" Id="R7d62fa357ba749b9" /><Relationship Type="http://schemas.openxmlformats.org/officeDocument/2006/relationships/sharedStrings" Target="/xl/sharedStrings.xml" Id="R89fa3040f90a4b14" /><Relationship Type="http://schemas.openxmlformats.org/officeDocument/2006/relationships/worksheet" Target="/xl/worksheets/sheet1.xml" Id="R2c95bfe4a17e4fba" /><Relationship Type="http://schemas.openxmlformats.org/officeDocument/2006/relationships/worksheet" Target="/xl/worksheets/sheet2.xml" Id="R90aa758081f44ccc" /><Relationship Type="http://schemas.openxmlformats.org/officeDocument/2006/relationships/worksheet" Target="/xl/worksheets/sheet3.xml" Id="R8a6c983834214382" /><Relationship Type="http://schemas.openxmlformats.org/officeDocument/2006/relationships/worksheet" Target="/xl/worksheets/sheet4.xml" Id="Rbf3f0af77cc14c33" /><Relationship Type="http://schemas.openxmlformats.org/officeDocument/2006/relationships/worksheet" Target="/xl/worksheets/sheet5.xml" Id="R8ec95aa0c19f4979" /><Relationship Type="http://schemas.openxmlformats.org/officeDocument/2006/relationships/worksheet" Target="/xl/worksheets/sheet6.xml" Id="R0441c7e4ef8b4812" /><Relationship Type="http://schemas.openxmlformats.org/officeDocument/2006/relationships/worksheet" Target="/xl/worksheets/sheet7.xml" Id="Rd29273063f5f48da" /><Relationship Type="http://schemas.openxmlformats.org/officeDocument/2006/relationships/worksheet" Target="/xl/worksheets/sheet8.xml" Id="R12cf4f50fdf54549" /><Relationship Type="http://schemas.openxmlformats.org/officeDocument/2006/relationships/worksheet" Target="/xl/worksheets/sheet9.xml" Id="Rb046e0bfa8fe4fa9" /><Relationship Type="http://schemas.openxmlformats.org/officeDocument/2006/relationships/worksheet" Target="/xl/worksheets/sheet10.xml" Id="R7700aef591f842e6" /><Relationship Type="http://schemas.openxmlformats.org/officeDocument/2006/relationships/worksheet" Target="/xl/worksheets/sheet11.xml" Id="R3f65332fde2f40a6" /><Relationship Type="http://schemas.openxmlformats.org/officeDocument/2006/relationships/worksheet" Target="/xl/worksheets/sheet12.xml" Id="R176b30c0d79240d3" /><Relationship Type="http://schemas.openxmlformats.org/officeDocument/2006/relationships/worksheet" Target="/xl/worksheets/sheet13.xml" Id="R8f4f2907a50846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d6484ae3534ff9" /><Relationship Type="http://schemas.openxmlformats.org/officeDocument/2006/relationships/chart" Target="/xl/drawings/charts/chart2.xml" Id="Rb95028f788ad483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0a60c959f41f4142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d77af99ffb14f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Observed Default Rate by Sector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Observed Default Rate</c:v>
          </c:tx>
          <c:cat>
            <c:strRef>
              <c:f>'Portfolio Summary'!$A$16:$A$25</c:f>
              <c:strCache>
                <c:ptCount val="0"/>
              </c:strCache>
            </c:strRef>
          </c:cat>
          <c:val>
            <c:numRef>
              <c:f>'Portfolio Summary'!$B$16:$B$25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Top Risk Decile Concentrates Defaults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default_rate</c:v>
          </c:tx>
          <c:cat>
            <c:strRef>
              <c:f>'Portfolio Summary'!$A$30:$A$39</c:f>
              <c:strCache>
                <c:ptCount val="0"/>
              </c:strCache>
            </c:strRef>
          </c:cat>
          <c:val>
            <c:numRef>
              <c:f>'Portfolio Summary'!$B$30:$B$39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Precision–Recall–Approval Trade-off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Precision</c:v>
          </c:tx>
          <c:marker>
            <c:symbol val="none"/>
          </c:marker>
          <c:cat>
            <c:strRef>
              <c:f>'Threshold Simulator'!$A$24:$A$73</c:f>
              <c:strCache>
                <c:ptCount val="0"/>
              </c:strCache>
            </c:strRef>
          </c:cat>
          <c:val>
            <c:numRef>
              <c:f>'Threshold Simulator'!$B$24:$B$73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Recall</c:v>
          </c:tx>
          <c:marker>
            <c:symbol val="none"/>
          </c:marker>
          <c:cat>
            <c:strRef>
              <c:f>'Threshold Simulator'!$A$24:$A$73</c:f>
              <c:strCache>
                <c:ptCount val="0"/>
              </c:strCache>
            </c:strRef>
          </c:cat>
          <c:val>
            <c:numRef>
              <c:f>'Threshold Simulator'!$C$24:$C$73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Approval Rate</c:v>
          </c:tx>
          <c:marker>
            <c:symbol val="none"/>
          </c:marker>
          <c:cat>
            <c:strRef>
              <c:f>'Threshold Simulator'!$A$24:$A$73</c:f>
              <c:strCache>
                <c:ptCount val="0"/>
              </c:strCache>
            </c:strRef>
          </c:cat>
          <c:val>
            <c:numRef>
              <c:f>'Threshold Simulator'!$D$24:$D$73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Permutation Importance (Test PR-AUC)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importance_mean</c:v>
          </c:tx>
          <c:cat>
            <c:strRef>
              <c:f>'Feature Importance'!$B$2:$B$11</c:f>
              <c:strCache>
                <c:ptCount val="0"/>
              </c:strCache>
            </c:strRef>
          </c:cat>
          <c:val>
            <c:numRef>
              <c:f>'Feature Importance'!$C$2:$C$11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13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d6484ae3534ff9"/>
        </a:graphicData>
      </a:graphic>
    </xdr:graphicFrame>
    <xdr:clientData/>
  </xdr:twoCellAnchor>
  <xdr:twoCellAnchor>
    <xdr:from>
      <xdr:col>4</xdr:col>
      <xdr:colOff>0</xdr:colOff>
      <xdr:row>30</xdr:row>
      <xdr:rowOff>0</xdr:rowOff>
    </xdr:from>
    <xdr:to>
      <xdr:col>14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5028f788ad483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a60c959f41f414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77af99ffb14f4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9" name="DataDictionaryTable" displayName="DataDictionaryTable" ref="A4:E49" headerRowCount="1" totalsRowCount="0" totalsRowShown="0">
  <x:tableColumns count="5">
    <x:tableColumn id="1" name="Field"/>
    <x:tableColumn id="2" name="Type"/>
    <x:tableColumn id="3" name="Business Meaning"/>
    <x:tableColumn id="4" name="Model Role"/>
    <x:tableColumn id="5" name="Important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ectorRiskTable" displayName="SectorRiskTable" ref="A1:L11" headerRowCount="1" totalsRowCount="0" totalsRowShown="0">
  <x:autoFilter ref="A1:L11"/>
  <x:tableColumns count="12">
    <x:tableColumn id="1" name="sector"/>
    <x:tableColumn id="2" name="loan_count"/>
    <x:tableColumn id="3" name="total_ead"/>
    <x:tableColumn id="4" name="defaults"/>
    <x:tableColumn id="5" name="observed_default_rate"/>
    <x:tableColumn id="6" name="avg_model_probability"/>
    <x:tableColumn id="7" name="term_risk_loss_proxy"/>
    <x:tableColumn id="8" name="existing_expected_loss"/>
    <x:tableColumn id="9" name="avg_credit_score"/>
    <x:tableColumn id="10" name="default_rate_rank"/>
    <x:tableColumn id="11" name="exposure_rank"/>
    <x:tableColumn id="12" name="exposure_sha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ModelMetricsTable" displayName="ModelMetricsTable" ref="A1:P7" headerRowCount="1" totalsRowCount="0" totalsRowShown="0">
  <x:autoFilter ref="A1:P7"/>
  <x:tableColumns count="16">
    <x:tableColumn id="1" name="model_name"/>
    <x:tableColumn id="2" name="split"/>
    <x:tableColumn id="3" name="threshold_type"/>
    <x:tableColumn id="4" name="threshold"/>
    <x:tableColumn id="5" name="roc_auc"/>
    <x:tableColumn id="6" name="pr_auc"/>
    <x:tableColumn id="7" name="precision"/>
    <x:tableColumn id="8" name="recall"/>
    <x:tableColumn id="9" name="f1"/>
    <x:tableColumn id="10" name="specificity"/>
    <x:tableColumn id="11" name="brier_score"/>
    <x:tableColumn id="12" name="approval_rate"/>
    <x:tableColumn id="13" name="true_negative"/>
    <x:tableColumn id="14" name="false_positive"/>
    <x:tableColumn id="15" name="false_negative"/>
    <x:tableColumn id="16" name="true_posi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HighRiskLoansTable" displayName="HighRiskLoansTable" ref="A1:P501" headerRowCount="1" totalsRowCount="0" totalsRowShown="0">
  <x:autoFilter ref="A1:P501"/>
  <x:tableColumns count="16">
    <x:tableColumn id="1" name="loan_id"/>
    <x:tableColumn id="2" name="origination_date"/>
    <x:tableColumn id="3" name="sector"/>
    <x:tableColumn id="4" name="loan_type"/>
    <x:tableColumn id="5" name="collateral"/>
    <x:tableColumn id="6" name="initial_rating"/>
    <x:tableColumn id="7" name="credit_score"/>
    <x:tableColumn id="8" name="ead"/>
    <x:tableColumn id="9" name="lgd"/>
    <x:tableColumn id="10" name="default_probability"/>
    <x:tableColumn id="11" name="risk_band"/>
    <x:tableColumn id="12" name="risk_decile"/>
    <x:tableColumn id="13" name="underwriting_action"/>
    <x:tableColumn id="14" name="term_risk_loss_proxy"/>
    <x:tableColumn id="15" name="defaulted"/>
    <x:tableColumn id="16" name="data_spli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FeatureImportanceTable" displayName="FeatureImportanceTable" ref="A1:D19" headerRowCount="1" totalsRowCount="0" totalsRowShown="0">
  <x:autoFilter ref="A1:D19"/>
  <x:tableColumns count="4">
    <x:tableColumn id="1" name="model_name"/>
    <x:tableColumn id="2" name="feature"/>
    <x:tableColumn id="3" name="importance_mean"/>
    <x:tableColumn id="4" name="importance_st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RiskDecileTable" displayName="RiskDecileTable" ref="A1:H11" headerRowCount="1" totalsRowCount="0" totalsRowShown="0">
  <x:autoFilter ref="A1:H11"/>
  <x:tableColumns count="8">
    <x:tableColumn id="1" name="risk_decile"/>
    <x:tableColumn id="2" name="loan_count"/>
    <x:tableColumn id="3" name="defaults"/>
    <x:tableColumn id="4" name="default_rate"/>
    <x:tableColumn id="5" name="avg_probability"/>
    <x:tableColumn id="6" name="total_ead"/>
    <x:tableColumn id="7" name="portfolio_default_rate"/>
    <x:tableColumn id="8" name="lift_vs_test_averag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hresholdDataTable" displayName="ThresholdDataTable" ref="A1:P100" headerRowCount="1" totalsRowCount="0" totalsRowShown="0">
  <x:autoFilter ref="A1:P100"/>
  <x:tableColumns count="16">
    <x:tableColumn id="1" name="model_name"/>
    <x:tableColumn id="2" name="split"/>
    <x:tableColumn id="3" name="threshold"/>
    <x:tableColumn id="4" name="precision"/>
    <x:tableColumn id="5" name="recall"/>
    <x:tableColumn id="6" name="f1"/>
    <x:tableColumn id="7" name="specificity"/>
    <x:tableColumn id="8" name="approval_rate"/>
    <x:tableColumn id="9" name="true_negative"/>
    <x:tableColumn id="10" name="false_positive"/>
    <x:tableColumn id="11" name="false_negative"/>
    <x:tableColumn id="12" name="true_positive"/>
    <x:tableColumn id="13" name="default_loss_exposure"/>
    <x:tableColumn id="14" name="rejected_good_ead"/>
    <x:tableColumn id="15" name="opportunity_cost_rate_assumption"/>
    <x:tableColumn id="16" name="total_cost_prox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ExecutiveKpisTable" displayName="ExecutiveKpisTable" ref="A1:I2" headerRowCount="1" totalsRowCount="0" totalsRowShown="0">
  <x:autoFilter ref="A1:I2"/>
  <x:tableColumns count="9">
    <x:tableColumn id="1" name="loans"/>
    <x:tableColumn id="2" name="total_ead"/>
    <x:tableColumn id="3" name="defaults"/>
    <x:tableColumn id="4" name="observed_default_rate"/>
    <x:tableColumn id="5" name="existing_expected_loss"/>
    <x:tableColumn id="6" name="term_risk_loss_proxy"/>
    <x:tableColumn id="7" name="avg_credit_score"/>
    <x:tableColumn id="8" name="avg_model_probability"/>
    <x:tableColumn id="9" name="avg_existing_pd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ValidationSourceTable" displayName="ValidationSourceTable" ref="A1:H2" headerRowCount="1" totalsRowCount="0" totalsRowShown="0">
  <x:autoFilter ref="A1:H2"/>
  <x:tableColumns count="8">
    <x:tableColumn id="1" name="clean_loan_rows"/>
    <x:tableColumn id="2" name="prediction_rows"/>
    <x:tableColumn id="3" name="test_rows"/>
    <x:tableColumn id="4" name="missing_probabilities"/>
    <x:tableColumn id="5" name="invalid_probabilities"/>
    <x:tableColumn id="6" name="invalid_target_values"/>
    <x:tableColumn id="7" name="probability_min"/>
    <x:tableColumn id="8" name="probability_ma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45c075b369f48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89061292d6e44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8a124b0da794e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e84ade8c337645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9c8c969d084f43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8c1f66c6b0234c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3.xml" Id="R6a260e23f85545f9" /><Relationship Type="http://schemas.openxmlformats.org/officeDocument/2006/relationships/table" Target="/xl/tables/table5.xml" Id="Rb7eac122b4184d6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e418b5cc0e8f46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441f49680aad41b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31d9fd53287149c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7e42e14b2c304c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206" t="str">
        <x:v>CREDIT RISK SCORING &amp; LOAN DEFAULT PREDICTION</x:v>
      </x:c>
      <x:c r="B1" s="206"/>
      <x:c r="C1" s="206"/>
      <x:c r="D1" s="206"/>
      <x:c r="E1" s="206"/>
      <x:c r="F1" s="206"/>
      <x:c r="G1" s="206"/>
      <x:c r="H1" s="206"/>
    </x:row>
    <x:row r="2">
      <x:c r="A2" s="206"/>
      <x:c r="B2" s="206"/>
      <x:c r="C2" s="206"/>
      <x:c r="D2" s="206"/>
      <x:c r="E2" s="206"/>
      <x:c r="F2" s="206"/>
      <x:c r="G2" s="206"/>
      <x:c r="H2" s="206"/>
    </x:row>
    <x:row r="3">
      <x:c r="A3" s="207"/>
      <x:c r="B3" s="207"/>
      <x:c r="C3" s="207"/>
      <x:c r="D3" s="207"/>
      <x:c r="E3" s="207"/>
      <x:c r="F3" s="207"/>
      <x:c r="G3" s="207"/>
      <x:c r="H3" s="207"/>
    </x:row>
    <x:row r="4">
      <x:c r="A4" s="5" t="str">
        <x:v>Excel underwriting companion | Validated on the supplied 50,000-loan dataset</x:v>
      </x:c>
      <x:c r="B4" s="5"/>
      <x:c r="C4" s="5"/>
      <x:c r="D4" s="5"/>
      <x:c r="E4" s="5"/>
      <x:c r="F4" s="5"/>
      <x:c r="G4" s="5"/>
      <x:c r="H4" s="5"/>
    </x:row>
    <x:row r="5">
      <x:c r="A5" s="207"/>
      <x:c r="B5" s="207"/>
      <x:c r="C5" s="207"/>
      <x:c r="D5" s="207"/>
      <x:c r="E5" s="207"/>
      <x:c r="F5" s="207"/>
      <x:c r="G5" s="207"/>
      <x:c r="H5" s="207"/>
    </x:row>
    <x:row r="6">
      <x:c r="A6" s="9" t="str">
        <x:v>HOW TO USE THIS WORKBOOK</x:v>
      </x:c>
      <x:c r="B6" s="9"/>
      <x:c r="C6" s="9"/>
      <x:c r="D6" s="9"/>
      <x:c r="E6" s="9"/>
      <x:c r="F6" s="9"/>
      <x:c r="G6" s="9"/>
      <x:c r="H6" s="9"/>
    </x:row>
    <x:row r="7">
      <x:c r="A7" s="207"/>
      <x:c r="B7" s="207"/>
      <x:c r="C7" s="207"/>
      <x:c r="D7" s="207"/>
      <x:c r="E7" s="207"/>
      <x:c r="F7" s="207"/>
      <x:c r="G7" s="207"/>
      <x:c r="H7" s="207"/>
    </x:row>
    <x:row r="8" ht="35" customHeight="1">
      <x:c r="A8" s="208" t="str">
        <x:v>1</x:v>
      </x:c>
      <x:c r="B8" s="209" t="str">
        <x:v>Open Portfolio Summary</x:v>
      </x:c>
      <x:c r="C8" s="210" t="str">
        <x:v>Review portfolio scale, default rate, model ranking, and risk concentration.</x:v>
      </x:c>
      <x:c r="D8" s="210"/>
      <x:c r="E8" s="210"/>
      <x:c r="F8" s="210"/>
      <x:c r="G8" s="210"/>
      <x:c r="H8" s="211"/>
    </x:row>
    <x:row r="9" ht="35" customHeight="1">
      <x:c r="A9" s="212" t="str">
        <x:v>2</x:v>
      </x:c>
      <x:c r="B9" s="213" t="str">
        <x:v>Use Threshold Simulator</x:v>
      </x:c>
      <x:c r="C9" s="214" t="str">
        <x:v>Edit only the blue threshold and opportunity-cost cells; formulas update automatically.</x:v>
      </x:c>
      <x:c r="D9" s="214"/>
      <x:c r="E9" s="214"/>
      <x:c r="F9" s="214"/>
      <x:c r="G9" s="214"/>
      <x:c r="H9" s="215"/>
    </x:row>
    <x:row r="10" ht="35" customHeight="1">
      <x:c r="A10" s="212" t="str">
        <x:v>3</x:v>
      </x:c>
      <x:c r="B10" s="213" t="str">
        <x:v>Review High-Risk Loans</x:v>
      </x:c>
      <x:c r="C10" s="214" t="str">
        <x:v>Prioritize manual review by term-risk loss proxy. This is a ranking aid, not an approval engine.</x:v>
      </x:c>
      <x:c r="D10" s="214"/>
      <x:c r="E10" s="214"/>
      <x:c r="F10" s="214"/>
      <x:c r="G10" s="214"/>
      <x:c r="H10" s="215"/>
    </x:row>
    <x:row r="11" ht="35" customHeight="1">
      <x:c r="A11" s="212" t="str">
        <x:v>4</x:v>
      </x:c>
      <x:c r="B11" s="213" t="str">
        <x:v>Read Checks</x:v>
      </x:c>
      <x:c r="C11" s="214" t="str">
        <x:v>Model status should show OK before using workbook outputs.</x:v>
      </x:c>
      <x:c r="D11" s="214"/>
      <x:c r="E11" s="214"/>
      <x:c r="F11" s="214"/>
      <x:c r="G11" s="214"/>
      <x:c r="H11" s="215"/>
    </x:row>
    <x:row r="12" ht="35" customHeight="1">
      <x:c r="A12" s="212" t="str">
        <x:v>5</x:v>
      </x:c>
      <x:c r="B12" s="213" t="str">
        <x:v>Respect the horizon</x:v>
      </x:c>
      <x:c r="C12" s="214" t="str">
        <x:v>The score estimates default over the simulated contractual term, not 12-month PD.</x:v>
      </x:c>
      <x:c r="D12" s="214"/>
      <x:c r="E12" s="214"/>
      <x:c r="F12" s="214"/>
      <x:c r="G12" s="214"/>
      <x:c r="H12" s="215"/>
    </x:row>
    <x:row r="13" ht="35" customHeight="1">
      <x:c r="A13" s="216" t="str">
        <x:v>6</x:v>
      </x:c>
      <x:c r="B13" s="217" t="str">
        <x:v>Do not infer causality</x:v>
      </x:c>
      <x:c r="C13" s="218" t="str">
        <x:v>Relationships and predictions do not prove that a feature causes default.</x:v>
      </x:c>
      <x:c r="D13" s="218"/>
      <x:c r="E13" s="218"/>
      <x:c r="F13" s="218"/>
      <x:c r="G13" s="218"/>
      <x:c r="H13" s="219"/>
    </x:row>
    <x:row r="14">
      <x:c r="A14" s="207"/>
      <x:c r="B14" s="207"/>
      <x:c r="C14" s="207"/>
      <x:c r="D14" s="207"/>
      <x:c r="E14" s="207"/>
      <x:c r="F14" s="207"/>
      <x:c r="G14" s="207"/>
      <x:c r="H14" s="207"/>
    </x:row>
    <x:row r="15">
      <x:c r="A15" s="9" t="str">
        <x:v>MODEL STATUS &amp; CONVENTIONS</x:v>
      </x:c>
      <x:c r="B15" s="9"/>
      <x:c r="C15" s="9"/>
      <x:c r="D15" s="9"/>
      <x:c r="E15" s="9"/>
      <x:c r="F15" s="9"/>
      <x:c r="G15" s="9"/>
      <x:c r="H15" s="9"/>
    </x:row>
    <x:row r="16">
      <x:c r="A16" s="207"/>
      <x:c r="B16" s="207"/>
      <x:c r="C16" s="207"/>
      <x:c r="D16" s="207"/>
      <x:c r="E16" s="207"/>
      <x:c r="F16" s="207"/>
      <x:c r="G16" s="207"/>
      <x:c r="H16" s="207"/>
    </x:row>
    <x:row r="17" ht="30" customHeight="1">
      <x:c r="A17" s="220" t="str">
        <x:v>Selected model</x:v>
      </x:c>
      <x:c r="B17" s="221" t="str">
        <x:v>Calibrated Random Forest</x:v>
      </x:c>
      <x:c r="C17" s="221"/>
      <x:c r="D17" s="221"/>
      <x:c r="E17" s="221"/>
      <x:c r="F17" s="221"/>
      <x:c r="G17" s="221"/>
      <x:c r="H17" s="221"/>
    </x:row>
    <x:row r="18" ht="30" customHeight="1">
      <x:c r="A18" s="220" t="str">
        <x:v>Operating threshold</x:v>
      </x:c>
      <x:c r="B18" s="222" t="n">
        <x:v>0.17</x:v>
      </x:c>
      <x:c r="C18" s="221"/>
      <x:c r="D18" s="221"/>
      <x:c r="E18" s="221"/>
      <x:c r="F18" s="221"/>
      <x:c r="G18" s="221"/>
      <x:c r="H18" s="221"/>
    </x:row>
    <x:row r="19" ht="30" customHeight="1">
      <x:c r="A19" s="220" t="str">
        <x:v>Test period</x:v>
      </x:c>
      <x:c r="B19" s="221" t="str">
        <x:v>2022-01 to 2023-12 (11,077 loans)</x:v>
      </x:c>
      <x:c r="C19" s="221"/>
      <x:c r="D19" s="221"/>
      <x:c r="E19" s="221"/>
      <x:c r="F19" s="221"/>
      <x:c r="G19" s="221"/>
      <x:c r="H19" s="221"/>
    </x:row>
    <x:row r="20" ht="30" customHeight="1">
      <x:c r="A20" s="220" t="str">
        <x:v>Target</x:v>
      </x:c>
      <x:c r="B20" s="221" t="str">
        <x:v>Default during simulated contractual term</x:v>
      </x:c>
      <x:c r="C20" s="221"/>
      <x:c r="D20" s="221"/>
      <x:c r="E20" s="221"/>
      <x:c r="F20" s="221"/>
      <x:c r="G20" s="221"/>
      <x:c r="H20" s="221"/>
    </x:row>
    <x:row r="21" ht="30" customHeight="1">
      <x:c r="A21" s="220" t="str">
        <x:v>Currency</x:v>
      </x:c>
      <x:c r="B21" s="221" t="str">
        <x:v>Dataset monetary units (displayed with $ for readability)</x:v>
      </x:c>
      <x:c r="C21" s="221"/>
      <x:c r="D21" s="221"/>
      <x:c r="E21" s="221"/>
      <x:c r="F21" s="221"/>
      <x:c r="G21" s="221"/>
      <x:c r="H21" s="221"/>
    </x:row>
    <x:row r="22" ht="30" customHeight="1">
      <x:c r="A22" s="220" t="str">
        <x:v>Validation environment</x:v>
      </x:c>
      <x:c r="B22" s="221" t="str">
        <x:v>Python/file pipeline passed; PostgreSQL and Power BI require local app validation</x:v>
      </x:c>
      <x:c r="C22" s="221"/>
      <x:c r="D22" s="221"/>
      <x:c r="E22" s="221"/>
      <x:c r="F22" s="221"/>
      <x:c r="G22" s="221"/>
      <x:c r="H22" s="221"/>
    </x:row>
    <x:row r="23">
      <x:c r="A23" s="207"/>
      <x:c r="B23" s="207"/>
      <x:c r="C23" s="207"/>
      <x:c r="D23" s="207"/>
      <x:c r="E23" s="207"/>
      <x:c r="F23" s="207"/>
      <x:c r="G23" s="207"/>
      <x:c r="H23" s="207"/>
    </x:row>
    <x:row r="24">
      <x:c r="A24" s="223" t="str">
        <x:v>Source: Kaggle — Credit Risk Dataset: 50K Loans, 10 Sectors</x:v>
      </x:c>
      <x:c r="B24" s="223"/>
      <x:c r="C24" s="223"/>
      <x:c r="D24" s="223"/>
      <x:c r="E24" s="223"/>
      <x:c r="F24" s="223"/>
      <x:c r="G24" s="223"/>
      <x:c r="H24" s="223"/>
    </x:row>
    <x:row r="25">
      <x:c r="A25" s="223" t="str">
        <x:v>Workbook generated from actual pipeline outputs; no claimed model metric is manually invented.</x:v>
      </x:c>
      <x:c r="B25" s="223"/>
      <x:c r="C25" s="223"/>
      <x:c r="D25" s="223"/>
      <x:c r="E25" s="223"/>
      <x:c r="F25" s="223"/>
      <x:c r="G25" s="223"/>
      <x:c r="H25" s="223"/>
    </x:row>
    <x:row r="26">
      <x:c r="A26" s="223" t="str">
        <x:v>Editable input cells use blue font and pale-yellow fill. Formula cells use black font.</x:v>
      </x:c>
      <x:c r="B26" s="223"/>
      <x:c r="C26" s="223"/>
      <x:c r="D26" s="223"/>
      <x:c r="E26" s="223"/>
      <x:c r="F26" s="223"/>
      <x:c r="G26" s="223"/>
      <x:c r="H26" s="223"/>
    </x:row>
  </x:sheetData>
  <x:mergeCells>
    <x:mergeCell ref="A1:H2"/>
    <x:mergeCell ref="A4:H4"/>
    <x:mergeCell ref="A6:H6"/>
    <x:mergeCell ref="C8:H8"/>
    <x:mergeCell ref="C9:H9"/>
    <x:mergeCell ref="C10:H10"/>
    <x:mergeCell ref="C11:H11"/>
    <x:mergeCell ref="C12:H12"/>
    <x:mergeCell ref="C13:H13"/>
    <x:mergeCell ref="A15:H15"/>
    <x:mergeCell ref="B17:H17"/>
    <x:mergeCell ref="B18:H18"/>
    <x:mergeCell ref="B19:H19"/>
    <x:mergeCell ref="B20:H20"/>
    <x:mergeCell ref="B21:H21"/>
    <x:mergeCell ref="B22:H22"/>
    <x:mergeCell ref="A24:H24"/>
    <x:mergeCell ref="A25:H25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224" t="str">
        <x:v>Portfolio Summary</x:v>
      </x:c>
      <x:c r="B1" s="224"/>
      <x:c r="C1" s="224"/>
      <x:c r="D1" s="224"/>
      <x:c r="E1" s="224"/>
      <x:c r="F1" s="224"/>
      <x:c r="G1" s="224"/>
      <x:c r="H1" s="224"/>
      <x:c r="I1" s="224"/>
      <x:c r="J1" s="224"/>
      <x:c r="K1" s="224"/>
      <x:c r="L1" s="224"/>
      <x:c r="M1" s="224"/>
      <x:c r="N1" s="224"/>
    </x:row>
    <x:row r="2" ht="34" customHeight="1">
      <x:c r="A2" s="224"/>
      <x:c r="B2" s="224"/>
      <x:c r="C2" s="224"/>
      <x:c r="D2" s="224"/>
      <x:c r="E2" s="224"/>
      <x:c r="F2" s="224"/>
      <x:c r="G2" s="224"/>
      <x:c r="H2" s="224"/>
      <x:c r="I2" s="224"/>
      <x:c r="J2" s="224"/>
      <x:c r="K2" s="224"/>
      <x:c r="L2" s="224"/>
      <x:c r="M2" s="224"/>
      <x:c r="N2" s="224"/>
    </x:row>
    <x:row r="3">
      <x:c r="A3" s="225" t="str">
        <x:v>All-loan portfolio profile with out-of-time model metrics shown separately</x:v>
      </x:c>
      <x:c r="B3" s="225"/>
      <x:c r="C3" s="225"/>
      <x:c r="D3" s="225"/>
      <x:c r="E3" s="225"/>
      <x:c r="F3" s="225"/>
      <x:c r="G3" s="225"/>
      <x:c r="H3" s="225"/>
      <x:c r="I3" s="225"/>
      <x:c r="J3" s="225"/>
      <x:c r="K3" s="225"/>
      <x:c r="L3" s="225"/>
      <x:c r="M3" s="225"/>
      <x:c r="N3" s="225"/>
    </x:row>
    <x:row r="4">
      <x:c r="A4" s="207"/>
      <x:c r="B4" s="207"/>
      <x:c r="C4" s="207"/>
      <x:c r="D4" s="207"/>
      <x:c r="E4" s="207"/>
      <x:c r="F4" s="207"/>
      <x:c r="G4" s="207"/>
      <x:c r="H4" s="207"/>
      <x:c r="I4" s="207"/>
      <x:c r="J4" s="207"/>
      <x:c r="K4" s="207"/>
      <x:c r="L4" s="207"/>
      <x:c r="M4" s="207"/>
      <x:c r="N4" s="207"/>
    </x:row>
    <x:row r="5">
      <x:c r="A5" s="226" t="str">
        <x:v>Loan Count</x:v>
      </x:c>
      <x:c r="B5" s="226"/>
      <x:c r="C5" s="226" t="str">
        <x:v>Total EAD</x:v>
      </x:c>
      <x:c r="D5" s="226"/>
      <x:c r="E5" s="226" t="str">
        <x:v>Observed Default Rate</x:v>
      </x:c>
      <x:c r="F5" s="226"/>
      <x:c r="G5" s="226" t="str">
        <x:v>Test Review Rate</x:v>
      </x:c>
      <x:c r="H5" s="226"/>
      <x:c r="I5" s="207"/>
      <x:c r="J5" s="207"/>
      <x:c r="K5" s="207"/>
      <x:c r="L5" s="207"/>
      <x:c r="M5" s="207"/>
      <x:c r="N5" s="207"/>
    </x:row>
    <x:row r="6">
      <x:c r="A6" s="227" t="n">
        <x:f>'Executive KPIs'!$A$2</x:f>
        <x:v>50000</x:v>
      </x:c>
      <x:c r="B6" s="228"/>
      <x:c r="C6" s="229" t="n">
        <x:f>'Executive KPIs'!$B$2</x:f>
        <x:v>164930233732.19</x:v>
      </x:c>
      <x:c r="D6" s="228"/>
      <x:c r="E6" s="230" t="n">
        <x:f>'Executive KPIs'!$D$2</x:f>
        <x:v>0.139</x:v>
      </x:c>
      <x:c r="F6" s="228"/>
      <x:c r="G6" s="230" t="n">
        <x:f>1-'Threshold Simulator'!$B$14</x:f>
        <x:v>0.34476843910806176</x:v>
      </x:c>
      <x:c r="H6" s="231"/>
      <x:c r="I6" s="207"/>
      <x:c r="J6" s="207"/>
      <x:c r="K6" s="207"/>
      <x:c r="L6" s="207"/>
      <x:c r="M6" s="207"/>
      <x:c r="N6" s="207"/>
    </x:row>
    <x:row r="7">
      <x:c r="A7" s="232"/>
      <x:c r="B7" s="233"/>
      <x:c r="C7" s="233"/>
      <x:c r="D7" s="233"/>
      <x:c r="E7" s="233"/>
      <x:c r="F7" s="233"/>
      <x:c r="G7" s="233"/>
      <x:c r="H7" s="234"/>
      <x:c r="I7" s="207"/>
      <x:c r="J7" s="207"/>
      <x:c r="K7" s="207"/>
      <x:c r="L7" s="207"/>
      <x:c r="M7" s="207"/>
      <x:c r="N7" s="207"/>
    </x:row>
    <x:row r="8">
      <x:c r="A8" s="207"/>
      <x:c r="B8" s="207"/>
      <x:c r="C8" s="207"/>
      <x:c r="D8" s="207"/>
      <x:c r="E8" s="207"/>
      <x:c r="F8" s="207"/>
      <x:c r="G8" s="207"/>
      <x:c r="H8" s="207"/>
      <x:c r="I8" s="207"/>
      <x:c r="J8" s="207"/>
      <x:c r="K8" s="207"/>
      <x:c r="L8" s="207"/>
      <x:c r="M8" s="207"/>
      <x:c r="N8" s="207"/>
    </x:row>
    <x:row r="9">
      <x:c r="A9" s="9" t="str">
        <x:v>OUT-OF-TIME TEST PERFORMANCE</x:v>
      </x:c>
      <x:c r="B9" s="9"/>
      <x:c r="C9" s="9"/>
      <x:c r="D9" s="9"/>
      <x:c r="E9" s="9"/>
      <x:c r="F9" s="9"/>
      <x:c r="G9" s="9"/>
      <x:c r="H9" s="9"/>
      <x:c r="I9" s="207"/>
      <x:c r="J9" s="207"/>
      <x:c r="K9" s="207"/>
      <x:c r="L9" s="207"/>
      <x:c r="M9" s="207"/>
      <x:c r="N9" s="207"/>
    </x:row>
    <x:row r="10">
      <x:c r="A10" s="226" t="str">
        <x:v>Selected Model</x:v>
      </x:c>
      <x:c r="B10" s="226"/>
      <x:c r="C10" s="226" t="str">
        <x:v>ROC-AUC</x:v>
      </x:c>
      <x:c r="D10" s="226"/>
      <x:c r="E10" s="226" t="str">
        <x:v>PR-AUC</x:v>
      </x:c>
      <x:c r="F10" s="226"/>
      <x:c r="G10" s="226" t="str">
        <x:v>Recall @ Operating Threshold</x:v>
      </x:c>
      <x:c r="H10" s="226"/>
      <x:c r="I10" s="207"/>
      <x:c r="J10" s="207"/>
      <x:c r="K10" s="207"/>
      <x:c r="L10" s="207"/>
      <x:c r="M10" s="207"/>
      <x:c r="N10" s="207"/>
    </x:row>
    <x:row r="11">
      <x:c r="A11" s="235" t="str">
        <x:f>'Threshold Simulator'!$B$5</x:f>
        <x:v>Calibrated Random Forest</x:v>
      </x:c>
      <x:c r="B11" s="236"/>
      <x:c r="C11" s="237" t="n">
        <x:f>MAXIFS('Model Metrics'!$E$2:$E$100,'Model Metrics'!$A$2:$A$100,$A$11,'Model Metrics'!$B$2:$B$100,"test")</x:f>
        <x:v>0.8675410771414791</x:v>
      </x:c>
      <x:c r="D11" s="237"/>
      <x:c r="E11" s="237" t="n">
        <x:f>MAXIFS('Model Metrics'!$F$2:$F$100,'Model Metrics'!$A$2:$A$100,$A$11,'Model Metrics'!$B$2:$B$100,"test")</x:f>
        <x:v>0.4247449798155235</x:v>
      </x:c>
      <x:c r="F11" s="237"/>
      <x:c r="G11" s="237" t="n">
        <x:f>MAXIFS('Model Metrics'!$H$2:$H$100,'Model Metrics'!$A$2:$A$100,$A$11,'Model Metrics'!$B$2:$B$100,"test",'Model Metrics'!$C$2:$C$100,"operating_recall_constraint")</x:f>
        <x:v>0.8751445086705202</x:v>
      </x:c>
      <x:c r="H11" s="238"/>
      <x:c r="I11" s="207"/>
      <x:c r="J11" s="207"/>
      <x:c r="K11" s="207"/>
      <x:c r="L11" s="207"/>
      <x:c r="M11" s="207"/>
      <x:c r="N11" s="207"/>
    </x:row>
    <x:row r="12">
      <x:c r="A12" s="239"/>
      <x:c r="B12" s="240"/>
      <x:c r="C12" s="240"/>
      <x:c r="D12" s="240"/>
      <x:c r="E12" s="240"/>
      <x:c r="F12" s="240"/>
      <x:c r="G12" s="240"/>
      <x:c r="H12" s="241"/>
      <x:c r="I12" s="207"/>
      <x:c r="J12" s="207"/>
      <x:c r="K12" s="207"/>
      <x:c r="L12" s="207"/>
      <x:c r="M12" s="207"/>
      <x:c r="N12" s="207"/>
    </x:row>
    <x:row r="13">
      <x:c r="A13" s="207"/>
      <x:c r="B13" s="207"/>
      <x:c r="C13" s="207"/>
      <x:c r="D13" s="207"/>
      <x:c r="E13" s="207"/>
      <x:c r="F13" s="207"/>
      <x:c r="G13" s="207"/>
      <x:c r="H13" s="207"/>
      <x:c r="I13" s="207"/>
      <x:c r="J13" s="207"/>
      <x:c r="K13" s="207"/>
      <x:c r="L13" s="207"/>
      <x:c r="M13" s="207"/>
      <x:c r="N13" s="207"/>
    </x:row>
    <x:row r="14">
      <x:c r="A14" s="9" t="str">
        <x:v>SECTOR RISK PROFILE</x:v>
      </x:c>
      <x:c r="B14" s="9"/>
      <x:c r="C14" s="9"/>
      <x:c r="D14" s="9"/>
      <x:c r="E14" s="9"/>
      <x:c r="F14" s="207"/>
      <x:c r="G14" s="207"/>
      <x:c r="H14" s="207"/>
      <x:c r="I14" s="207"/>
      <x:c r="J14" s="207"/>
      <x:c r="K14" s="207"/>
      <x:c r="L14" s="207"/>
      <x:c r="M14" s="207"/>
      <x:c r="N14" s="207"/>
    </x:row>
    <x:row r="15">
      <x:c r="A15" s="121" t="str">
        <x:v>Sector</x:v>
      </x:c>
      <x:c r="B15" s="122" t="str">
        <x:v>Observed Default Rate</x:v>
      </x:c>
      <x:c r="C15" s="123" t="str">
        <x:v>Total EAD</x:v>
      </x:c>
      <x:c r="D15" s="207"/>
      <x:c r="E15" s="207"/>
      <x:c r="F15" s="207"/>
      <x:c r="G15" s="207"/>
      <x:c r="H15" s="207"/>
      <x:c r="I15" s="207"/>
      <x:c r="J15" s="207"/>
      <x:c r="K15" s="207"/>
      <x:c r="L15" s="207"/>
      <x:c r="M15" s="207"/>
      <x:c r="N15" s="207"/>
    </x:row>
    <x:row r="16">
      <x:c r="A16" s="242" t="str">
        <x:f>'Sector Risk'!A2</x:f>
        <x:v>Financials</x:v>
      </x:c>
      <x:c r="B16" s="243" t="n">
        <x:f>'Sector Risk'!E2</x:f>
        <x:v>0.14752140155285687</x:v>
      </x:c>
      <x:c r="C16" s="244" t="n">
        <x:f>'Sector Risk'!C2</x:f>
        <x:v>30166694281.04</x:v>
      </x:c>
      <x:c r="D16" s="207"/>
      <x:c r="E16" s="207"/>
      <x:c r="F16" s="207"/>
      <x:c r="G16" s="207"/>
      <x:c r="H16" s="207"/>
      <x:c r="I16" s="207"/>
      <x:c r="J16" s="207"/>
      <x:c r="K16" s="207"/>
      <x:c r="L16" s="207"/>
      <x:c r="M16" s="207"/>
      <x:c r="N16" s="207"/>
    </x:row>
    <x:row r="17">
      <x:c r="A17" s="242" t="str">
        <x:f>'Sector Risk'!A3</x:f>
        <x:v>Energy</x:v>
      </x:c>
      <x:c r="B17" s="243" t="n">
        <x:f>'Sector Risk'!E3</x:f>
        <x:v>0.1445830085736555</x:v>
      </x:c>
      <x:c r="C17" s="244" t="n">
        <x:f>'Sector Risk'!C3</x:f>
        <x:v>20935495607.76</x:v>
      </x:c>
      <x:c r="D17" s="207"/>
      <x:c r="E17" s="207"/>
      <x:c r="F17" s="207"/>
      <x:c r="G17" s="207"/>
      <x:c r="H17" s="207"/>
      <x:c r="I17" s="207"/>
      <x:c r="J17" s="207"/>
      <x:c r="K17" s="207"/>
      <x:c r="L17" s="207"/>
      <x:c r="M17" s="207"/>
      <x:c r="N17" s="207"/>
    </x:row>
    <x:row r="18">
      <x:c r="A18" s="242" t="str">
        <x:f>'Sector Risk'!A4</x:f>
        <x:v>Industrials</x:v>
      </x:c>
      <x:c r="B18" s="243" t="n">
        <x:f>'Sector Risk'!E4</x:f>
        <x:v>0.14405426975259378</x:v>
      </x:c>
      <x:c r="C18" s="244" t="n">
        <x:f>'Sector Risk'!C4</x:f>
        <x:v>15712153602.53</x:v>
      </x:c>
      <x:c r="D18" s="207"/>
      <x:c r="E18" s="207"/>
      <x:c r="F18" s="207"/>
      <x:c r="G18" s="207"/>
      <x:c r="H18" s="207"/>
      <x:c r="I18" s="207"/>
      <x:c r="J18" s="207"/>
      <x:c r="K18" s="207"/>
      <x:c r="L18" s="207"/>
      <x:c r="M18" s="207"/>
      <x:c r="N18" s="207"/>
    </x:row>
    <x:row r="19">
      <x:c r="A19" s="242" t="str">
        <x:f>'Sector Risk'!A5</x:f>
        <x:v>Retail</x:v>
      </x:c>
      <x:c r="B19" s="243" t="n">
        <x:f>'Sector Risk'!E5</x:f>
        <x:v>0.14057766107856998</x:v>
      </x:c>
      <x:c r="C19" s="244" t="n">
        <x:f>'Sector Risk'!C5</x:f>
        <x:v>3959380562.16</x:v>
      </x:c>
      <x:c r="D19" s="207"/>
      <x:c r="E19" s="207"/>
      <x:c r="F19" s="207"/>
      <x:c r="G19" s="207"/>
      <x:c r="H19" s="207"/>
      <x:c r="I19" s="207"/>
      <x:c r="J19" s="207"/>
      <x:c r="K19" s="207"/>
      <x:c r="L19" s="207"/>
      <x:c r="M19" s="207"/>
      <x:c r="N19" s="207"/>
    </x:row>
    <x:row r="20">
      <x:c r="A20" s="242" t="str">
        <x:f>'Sector Risk'!A6</x:f>
        <x:v>Real_Estate</x:v>
      </x:c>
      <x:c r="B20" s="243" t="n">
        <x:f>'Sector Risk'!E6</x:f>
        <x:v>0.13944878650761003</x:v>
      </x:c>
      <x:c r="C20" s="244" t="n">
        <x:f>'Sector Risk'!C6</x:f>
        <x:v>25305432304.19</x:v>
      </x:c>
      <x:c r="D20" s="207"/>
      <x:c r="E20" s="207"/>
      <x:c r="F20" s="207"/>
      <x:c r="G20" s="207"/>
      <x:c r="H20" s="207"/>
      <x:c r="I20" s="207"/>
      <x:c r="J20" s="207"/>
      <x:c r="K20" s="207"/>
      <x:c r="L20" s="207"/>
      <x:c r="M20" s="207"/>
      <x:c r="N20" s="207"/>
    </x:row>
    <x:row r="21">
      <x:c r="A21" s="242" t="str">
        <x:f>'Sector Risk'!A7</x:f>
        <x:v>Consumer</x:v>
      </x:c>
      <x:c r="B21" s="243" t="n">
        <x:f>'Sector Risk'!E7</x:f>
        <x:v>0.13702161411858022</x:v>
      </x:c>
      <x:c r="C21" s="244" t="n">
        <x:f>'Sector Risk'!C7</x:f>
        <x:v>5049910318.7</x:v>
      </x:c>
      <x:c r="D21" s="207"/>
      <x:c r="E21" s="207"/>
      <x:c r="F21" s="207"/>
      <x:c r="G21" s="207"/>
      <x:c r="H21" s="207"/>
      <x:c r="I21" s="207"/>
      <x:c r="J21" s="207"/>
      <x:c r="K21" s="207"/>
      <x:c r="L21" s="207"/>
      <x:c r="M21" s="207"/>
      <x:c r="N21" s="207"/>
    </x:row>
    <x:row r="22">
      <x:c r="A22" s="242" t="str">
        <x:f>'Sector Risk'!A8</x:f>
        <x:v>Technology</x:v>
      </x:c>
      <x:c r="B22" s="243" t="n">
        <x:f>'Sector Risk'!E8</x:f>
        <x:v>0.13631780600927607</x:v>
      </x:c>
      <x:c r="C22" s="244" t="n">
        <x:f>'Sector Risk'!C8</x:f>
        <x:v>12773050110.74</x:v>
      </x:c>
      <x:c r="D22" s="207"/>
      <x:c r="E22" s="207"/>
      <x:c r="F22" s="207"/>
      <x:c r="G22" s="207"/>
      <x:c r="H22" s="207"/>
      <x:c r="I22" s="207"/>
      <x:c r="J22" s="207"/>
      <x:c r="K22" s="207"/>
      <x:c r="L22" s="207"/>
      <x:c r="M22" s="207"/>
      <x:c r="N22" s="207"/>
    </x:row>
    <x:row r="23">
      <x:c r="A23" s="242" t="str">
        <x:f>'Sector Risk'!A9</x:f>
        <x:v>Telecom</x:v>
      </x:c>
      <x:c r="B23" s="243" t="n">
        <x:f>'Sector Risk'!E9</x:f>
        <x:v>0.1349221981485129</x:v>
      </x:c>
      <x:c r="C23" s="244" t="n">
        <x:f>'Sector Risk'!C9</x:f>
        <x:v>18910385182.74</x:v>
      </x:c>
      <x:c r="D23" s="207"/>
      <x:c r="E23" s="207"/>
      <x:c r="F23" s="207"/>
      <x:c r="G23" s="207"/>
      <x:c r="H23" s="207"/>
      <x:c r="I23" s="207"/>
      <x:c r="J23" s="207"/>
      <x:c r="K23" s="207"/>
      <x:c r="L23" s="207"/>
      <x:c r="M23" s="207"/>
      <x:c r="N23" s="207"/>
    </x:row>
    <x:row r="24">
      <x:c r="A24" s="242" t="str">
        <x:f>'Sector Risk'!A10</x:f>
        <x:v>Utilities</x:v>
      </x:c>
      <x:c r="B24" s="243" t="n">
        <x:f>'Sector Risk'!E10</x:f>
        <x:v>0.1334946561806816</x:v>
      </x:c>
      <x:c r="C24" s="244" t="n">
        <x:f>'Sector Risk'!C10</x:f>
        <x:v>22069987323.25</x:v>
      </x:c>
      <x:c r="D24" s="207"/>
      <x:c r="E24" s="207"/>
      <x:c r="F24" s="207"/>
      <x:c r="G24" s="207"/>
      <x:c r="H24" s="207"/>
      <x:c r="I24" s="207"/>
      <x:c r="J24" s="207"/>
      <x:c r="K24" s="207"/>
      <x:c r="L24" s="207"/>
      <x:c r="M24" s="207"/>
      <x:c r="N24" s="207"/>
    </x:row>
    <x:row r="25">
      <x:c r="A25" s="245" t="str">
        <x:f>'Sector Risk'!A11</x:f>
        <x:v>Healthcare</x:v>
      </x:c>
      <x:c r="B25" s="246" t="n">
        <x:f>'Sector Risk'!E11</x:f>
        <x:v>0.1318747490967483</x:v>
      </x:c>
      <x:c r="C25" s="247" t="n">
        <x:f>'Sector Risk'!C11</x:f>
        <x:v>10047744439.08</x:v>
      </x:c>
      <x:c r="D25" s="207"/>
      <x:c r="E25" s="207"/>
      <x:c r="F25" s="207"/>
      <x:c r="G25" s="207"/>
      <x:c r="H25" s="207"/>
      <x:c r="I25" s="207"/>
      <x:c r="J25" s="207"/>
      <x:c r="K25" s="207"/>
      <x:c r="L25" s="207"/>
      <x:c r="M25" s="207"/>
      <x:c r="N25" s="207"/>
    </x:row>
    <x:row r="26">
      <x:c r="A26" s="207"/>
      <x:c r="B26" s="207"/>
      <x:c r="C26" s="207"/>
      <x:c r="D26" s="207"/>
      <x:c r="E26" s="207"/>
      <x:c r="F26" s="207"/>
      <x:c r="G26" s="207"/>
      <x:c r="H26" s="207"/>
      <x:c r="I26" s="207"/>
      <x:c r="J26" s="207"/>
      <x:c r="K26" s="207"/>
      <x:c r="L26" s="207"/>
      <x:c r="M26" s="207"/>
      <x:c r="N26" s="207"/>
    </x:row>
    <x:row r="27">
      <x:c r="A27" s="207"/>
      <x:c r="B27" s="207"/>
      <x:c r="C27" s="207"/>
      <x:c r="D27" s="207"/>
      <x:c r="E27" s="207"/>
      <x:c r="F27" s="207"/>
      <x:c r="G27" s="207"/>
      <x:c r="H27" s="207"/>
      <x:c r="I27" s="207"/>
      <x:c r="J27" s="207"/>
      <x:c r="K27" s="207"/>
      <x:c r="L27" s="207"/>
      <x:c r="M27" s="207"/>
      <x:c r="N27" s="207"/>
    </x:row>
    <x:row r="28">
      <x:c r="A28" s="9" t="str">
        <x:v>TEST RISK DECILE LIFT</x:v>
      </x:c>
      <x:c r="B28" s="9"/>
      <x:c r="C28" s="9"/>
      <x:c r="D28" s="9"/>
      <x:c r="E28" s="9"/>
      <x:c r="F28" s="207"/>
      <x:c r="G28" s="207"/>
      <x:c r="H28" s="207"/>
      <x:c r="I28" s="207"/>
      <x:c r="J28" s="207"/>
      <x:c r="K28" s="207"/>
      <x:c r="L28" s="207"/>
      <x:c r="M28" s="207"/>
      <x:c r="N28" s="207"/>
    </x:row>
    <x:row r="29">
      <x:c r="A29" s="116" t="str">
        <x:f>'Risk Decile'!A1</x:f>
        <x:v>risk_decile</x:v>
      </x:c>
      <x:c r="B29" s="117" t="str">
        <x:f>'Risk Decile'!D1</x:f>
        <x:v>default_rate</x:v>
      </x:c>
      <x:c r="C29" s="118" t="str">
        <x:f>'Risk Decile'!H1</x:f>
        <x:v>lift_vs_test_average</x:v>
      </x:c>
      <x:c r="D29" s="207"/>
      <x:c r="E29" s="207"/>
      <x:c r="F29" s="207"/>
      <x:c r="G29" s="207"/>
      <x:c r="H29" s="207"/>
      <x:c r="I29" s="207"/>
      <x:c r="J29" s="207"/>
      <x:c r="K29" s="207"/>
      <x:c r="L29" s="207"/>
      <x:c r="M29" s="207"/>
      <x:c r="N29" s="207"/>
    </x:row>
    <x:row r="30">
      <x:c r="A30" s="207" t="n">
        <x:f>'Risk Decile'!A2</x:f>
        <x:v>1</x:v>
      </x:c>
      <x:c r="B30" s="248" t="n">
        <x:f>'Risk Decile'!D2</x:f>
        <x:v>0.44053282588011416</x:v>
      </x:c>
      <x:c r="C30" s="249" t="n">
        <x:f>'Risk Decile'!H2</x:f>
        <x:v>5.641366603785</x:v>
      </x:c>
      <x:c r="D30" s="207"/>
      <x:c r="E30" s="207"/>
      <x:c r="F30" s="207"/>
      <x:c r="G30" s="207"/>
      <x:c r="H30" s="207"/>
      <x:c r="I30" s="207"/>
      <x:c r="J30" s="207"/>
      <x:c r="K30" s="207"/>
      <x:c r="L30" s="207"/>
      <x:c r="M30" s="207"/>
      <x:c r="N30" s="207"/>
    </x:row>
    <x:row r="31">
      <x:c r="A31" s="207" t="n">
        <x:f>'Risk Decile'!A3</x:f>
        <x:v>2</x:v>
      </x:c>
      <x:c r="B31" s="248" t="n">
        <x:f>'Risk Decile'!D3</x:f>
        <x:v>0.18859649122807018</x:v>
      </x:c>
      <x:c r="C31" s="249" t="n">
        <x:f>'Risk Decile'!H3</x:f>
        <x:v>2.4151252408477846</x:v>
      </x:c>
      <x:c r="D31" s="207"/>
      <x:c r="E31" s="207"/>
      <x:c r="F31" s="207"/>
      <x:c r="G31" s="207"/>
      <x:c r="H31" s="207"/>
      <x:c r="I31" s="207"/>
      <x:c r="J31" s="207"/>
      <x:c r="K31" s="207"/>
      <x:c r="L31" s="207"/>
      <x:c r="M31" s="207"/>
      <x:c r="N31" s="207"/>
    </x:row>
    <x:row r="32">
      <x:c r="A32" s="207" t="n">
        <x:f>'Risk Decile'!A4</x:f>
        <x:v>3</x:v>
      </x:c>
      <x:c r="B32" s="248" t="n">
        <x:f>'Risk Decile'!D4</x:f>
        <x:v>0.07125307125307126</x:v>
      </x:c>
      <x:c r="C32" s="249" t="n">
        <x:f>'Risk Decile'!H4</x:f>
        <x:v>0.9124511795032028</x:v>
      </x:c>
      <x:c r="D32" s="207"/>
      <x:c r="E32" s="207"/>
      <x:c r="F32" s="207"/>
      <x:c r="G32" s="207"/>
      <x:c r="H32" s="207"/>
      <x:c r="I32" s="207"/>
      <x:c r="J32" s="207"/>
      <x:c r="K32" s="207"/>
      <x:c r="L32" s="207"/>
      <x:c r="M32" s="207"/>
      <x:c r="N32" s="207"/>
    </x:row>
    <x:row r="33">
      <x:c r="A33" s="207" t="n">
        <x:f>'Risk Decile'!A5</x:f>
        <x:v>4</x:v>
      </x:c>
      <x:c r="B33" s="248" t="n">
        <x:f>'Risk Decile'!D5</x:f>
        <x:v>0.03700516351118761</x:v>
      </x:c>
      <x:c r="C33" s="249" t="n">
        <x:f>'Risk Decile'!H5</x:f>
        <x:v>0.4738799956224568</x:v>
      </x:c>
      <x:c r="D33" s="207"/>
      <x:c r="E33" s="207"/>
      <x:c r="F33" s="207"/>
      <x:c r="G33" s="207"/>
      <x:c r="H33" s="207"/>
      <x:c r="I33" s="207"/>
      <x:c r="J33" s="207"/>
      <x:c r="K33" s="207"/>
      <x:c r="L33" s="207"/>
      <x:c r="M33" s="207"/>
      <x:c r="N33" s="207"/>
    </x:row>
    <x:row r="34">
      <x:c r="A34" s="207" t="n">
        <x:f>'Risk Decile'!A6</x:f>
        <x:v>5</x:v>
      </x:c>
      <x:c r="B34" s="248" t="n">
        <x:f>'Risk Decile'!D6</x:f>
        <x:v>0.024291497975708502</x:v>
      </x:c>
      <x:c r="C34" s="249" t="n">
        <x:f>'Risk Decile'!H6</x:f>
        <x:v>0.31107158737216545</x:v>
      </x:c>
      <x:c r="D34" s="207"/>
      <x:c r="E34" s="207"/>
      <x:c r="F34" s="207"/>
      <x:c r="G34" s="207"/>
      <x:c r="H34" s="207"/>
      <x:c r="I34" s="207"/>
      <x:c r="J34" s="207"/>
      <x:c r="K34" s="207"/>
      <x:c r="L34" s="207"/>
      <x:c r="M34" s="207"/>
      <x:c r="N34" s="207"/>
    </x:row>
    <x:row r="35">
      <x:c r="A35" s="207" t="n">
        <x:f>'Risk Decile'!A7</x:f>
        <x:v>6</x:v>
      </x:c>
      <x:c r="B35" s="248" t="n">
        <x:f>'Risk Decile'!D7</x:f>
        <x:v>0.015743073047858942</x:v>
      </x:c>
      <x:c r="C35" s="249" t="n">
        <x:f>'Risk Decile'!H7</x:f>
        <x:v>0.20160233543483644</x:v>
      </x:c>
      <x:c r="D35" s="207"/>
      <x:c r="E35" s="207"/>
      <x:c r="F35" s="207"/>
      <x:c r="G35" s="207"/>
      <x:c r="H35" s="207"/>
      <x:c r="I35" s="207"/>
      <x:c r="J35" s="207"/>
      <x:c r="K35" s="207"/>
      <x:c r="L35" s="207"/>
      <x:c r="M35" s="207"/>
      <x:c r="N35" s="207"/>
    </x:row>
    <x:row r="36">
      <x:c r="A36" s="207" t="n">
        <x:f>'Risk Decile'!A8</x:f>
        <x:v>7</x:v>
      </x:c>
      <x:c r="B36" s="248" t="n">
        <x:f>'Risk Decile'!D8</x:f>
        <x:v>0.010900745840504877</x:v>
      </x:c>
      <x:c r="C36" s="249" t="n">
        <x:f>'Risk Decile'!H8</x:f>
        <x:v>0.13959255685002606</x:v>
      </x:c>
      <x:c r="D36" s="207"/>
      <x:c r="E36" s="207"/>
      <x:c r="F36" s="207"/>
      <x:c r="G36" s="207"/>
      <x:c r="H36" s="207"/>
      <x:c r="I36" s="207"/>
      <x:c r="J36" s="207"/>
      <x:c r="K36" s="207"/>
      <x:c r="L36" s="207"/>
      <x:c r="M36" s="207"/>
      <x:c r="N36" s="207"/>
    </x:row>
    <x:row r="37">
      <x:c r="A37" s="207" t="n">
        <x:f>'Risk Decile'!A9</x:f>
        <x:v>8</x:v>
      </x:c>
      <x:c r="B37" s="248" t="n">
        <x:f>'Risk Decile'!D9</x:f>
        <x:v>0.013861386138613862</x:v>
      </x:c>
      <x:c r="C37" s="249" t="n">
        <x:f>'Risk Decile'!H9</x:f>
        <x:v>0.1775058661935558</x:v>
      </x:c>
      <x:c r="D37" s="207"/>
      <x:c r="E37" s="207"/>
      <x:c r="F37" s="207"/>
      <x:c r="G37" s="207"/>
      <x:c r="H37" s="207"/>
      <x:c r="I37" s="207"/>
      <x:c r="J37" s="207"/>
      <x:c r="K37" s="207"/>
      <x:c r="L37" s="207"/>
      <x:c r="M37" s="207"/>
      <x:c r="N37" s="207"/>
    </x:row>
    <x:row r="38">
      <x:c r="A38" s="207" t="n">
        <x:f>'Risk Decile'!A10</x:f>
        <x:v>9</x:v>
      </x:c>
      <x:c r="B38" s="248" t="n">
        <x:f>'Risk Decile'!D10</x:f>
        <x:v>0.011278195488721804</x:v>
      </x:c>
      <x:c r="C38" s="249" t="n">
        <x:f>'Risk Decile'!H10</x:f>
        <x:v>0.1444260941370768</x:v>
      </x:c>
      <x:c r="D38" s="207"/>
      <x:c r="E38" s="207"/>
      <x:c r="F38" s="207"/>
      <x:c r="G38" s="207"/>
      <x:c r="H38" s="207"/>
      <x:c r="I38" s="207"/>
      <x:c r="J38" s="207"/>
      <x:c r="K38" s="207"/>
      <x:c r="L38" s="207"/>
      <x:c r="M38" s="207"/>
      <x:c r="N38" s="207"/>
    </x:row>
    <x:row r="39">
      <x:c r="A39" s="207" t="n">
        <x:f>'Risk Decile'!A11</x:f>
        <x:v>10</x:v>
      </x:c>
      <x:c r="B39" s="248" t="n">
        <x:f>'Risk Decile'!D11</x:f>
        <x:v>0.008403361344537815</x:v>
      </x:c>
      <x:c r="C39" s="249" t="n">
        <x:f>'Risk Decile'!H11</x:f>
        <x:v>0.10761159955311604</x:v>
      </x:c>
      <x:c r="D39" s="207"/>
      <x:c r="E39" s="207"/>
      <x:c r="F39" s="207"/>
      <x:c r="G39" s="207"/>
      <x:c r="H39" s="207"/>
      <x:c r="I39" s="207"/>
      <x:c r="J39" s="207"/>
      <x:c r="K39" s="207"/>
      <x:c r="L39" s="207"/>
      <x:c r="M39" s="207"/>
      <x:c r="N39" s="207"/>
    </x:row>
    <x:row r="40">
      <x:c r="A40" s="207"/>
      <x:c r="B40" s="207"/>
      <x:c r="C40" s="207"/>
      <x:c r="D40" s="207"/>
      <x:c r="E40" s="207"/>
      <x:c r="F40" s="207"/>
      <x:c r="G40" s="207"/>
      <x:c r="H40" s="207"/>
      <x:c r="I40" s="207"/>
      <x:c r="J40" s="207"/>
      <x:c r="K40" s="207"/>
      <x:c r="L40" s="207"/>
      <x:c r="M40" s="207"/>
      <x:c r="N40" s="207"/>
    </x:row>
    <x:row r="41">
      <x:c r="A41" s="207"/>
      <x:c r="B41" s="207"/>
      <x:c r="C41" s="207"/>
      <x:c r="D41" s="207"/>
      <x:c r="E41" s="207"/>
      <x:c r="F41" s="207"/>
      <x:c r="G41" s="207"/>
      <x:c r="H41" s="207"/>
      <x:c r="I41" s="207"/>
      <x:c r="J41" s="207"/>
      <x:c r="K41" s="207"/>
      <x:c r="L41" s="207"/>
      <x:c r="M41" s="207"/>
      <x:c r="N41" s="207"/>
    </x:row>
    <x:row r="42">
      <x:c r="A42" s="250" t="str">
        <x:v>Interpretation: the top test risk decile has a 44.1% observed default rate (5.64x the test average). Use the score for review prioritization; do not treat it as causal or as a standalone approval decision.</x:v>
      </x:c>
      <x:c r="B42" s="250"/>
      <x:c r="C42" s="250"/>
      <x:c r="D42" s="250"/>
      <x:c r="E42" s="207"/>
      <x:c r="F42" s="207"/>
      <x:c r="G42" s="207"/>
      <x:c r="H42" s="207"/>
      <x:c r="I42" s="207"/>
      <x:c r="J42" s="207"/>
      <x:c r="K42" s="207"/>
      <x:c r="L42" s="207"/>
      <x:c r="M42" s="207"/>
      <x:c r="N42" s="207"/>
    </x:row>
    <x:row r="43">
      <x:c r="A43" s="250"/>
      <x:c r="B43" s="250"/>
      <x:c r="C43" s="250"/>
      <x:c r="D43" s="250"/>
      <x:c r="E43" s="207"/>
      <x:c r="F43" s="207"/>
      <x:c r="G43" s="207"/>
      <x:c r="H43" s="207"/>
      <x:c r="I43" s="207"/>
      <x:c r="J43" s="207"/>
      <x:c r="K43" s="207"/>
      <x:c r="L43" s="207"/>
      <x:c r="M43" s="207"/>
      <x:c r="N43" s="207"/>
    </x:row>
    <x:row r="44">
      <x:c r="A44" s="250"/>
      <x:c r="B44" s="250"/>
      <x:c r="C44" s="250"/>
      <x:c r="D44" s="250"/>
      <x:c r="E44" s="207"/>
      <x:c r="F44" s="207"/>
      <x:c r="G44" s="207"/>
      <x:c r="H44" s="207"/>
      <x:c r="I44" s="207"/>
      <x:c r="J44" s="207"/>
      <x:c r="K44" s="207"/>
      <x:c r="L44" s="207"/>
      <x:c r="M44" s="207"/>
      <x:c r="N44" s="207"/>
    </x:row>
    <x:row r="45">
      <x:c r="A45" s="250"/>
      <x:c r="B45" s="250"/>
      <x:c r="C45" s="250"/>
      <x:c r="D45" s="250"/>
      <x:c r="E45" s="207"/>
      <x:c r="F45" s="207"/>
      <x:c r="G45" s="207"/>
      <x:c r="H45" s="207"/>
      <x:c r="I45" s="207"/>
      <x:c r="J45" s="207"/>
      <x:c r="K45" s="207"/>
      <x:c r="L45" s="207"/>
      <x:c r="M45" s="207"/>
      <x:c r="N45" s="207"/>
    </x:row>
  </x:sheetData>
  <x:mergeCells>
    <x:mergeCell ref="A1:N2"/>
    <x:mergeCell ref="A3:N3"/>
    <x:mergeCell ref="A6:B7"/>
    <x:mergeCell ref="C6:D7"/>
    <x:mergeCell ref="E6:F7"/>
    <x:mergeCell ref="G6:H7"/>
    <x:mergeCell ref="A9:H9"/>
    <x:mergeCell ref="A11:B12"/>
    <x:mergeCell ref="C11:D12"/>
    <x:mergeCell ref="E11:F12"/>
    <x:mergeCell ref="G11:H12"/>
    <x:mergeCell ref="A14:E14"/>
    <x:mergeCell ref="A28:E28"/>
    <x:mergeCell ref="A42:D45"/>
  </x:mergeCells>
  <x:pageMargins left="0.7" right="0.7" top="0.75" bottom="0.75" header="0.3" footer="0.3"/>
  <x:drawing xmlns:r="http://schemas.openxmlformats.org/officeDocument/2006/relationships" r:id="R445c075b369f488b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34" customHeight="1">
      <x:c r="A1" s="224" t="str">
        <x:v>Underwriting Threshold Simulator</x:v>
      </x:c>
      <x:c r="B1" s="224"/>
      <x:c r="C1" s="224"/>
      <x:c r="D1" s="224"/>
      <x:c r="E1" s="224"/>
      <x:c r="F1" s="224"/>
      <x:c r="G1" s="224"/>
      <x:c r="H1" s="224"/>
      <x:c r="I1" s="224"/>
      <x:c r="J1" s="224"/>
      <x:c r="K1" s="224"/>
      <x:c r="L1" s="224"/>
      <x:c r="M1" s="224"/>
    </x:row>
    <x:row r="2" ht="34" customHeight="1">
      <x:c r="A2" s="224"/>
      <x:c r="B2" s="224"/>
      <x:c r="C2" s="224"/>
      <x:c r="D2" s="224"/>
      <x:c r="E2" s="224"/>
      <x:c r="F2" s="224"/>
      <x:c r="G2" s="224"/>
      <x:c r="H2" s="224"/>
      <x:c r="I2" s="224"/>
      <x:c r="J2" s="224"/>
      <x:c r="K2" s="224"/>
      <x:c r="L2" s="224"/>
      <x:c r="M2" s="224"/>
    </x:row>
    <x:row r="3">
      <x:c r="A3" s="251" t="str">
        <x:v>Edit blue cells only. Threshold was selected on 2021 validation data; table below reports the unseen 2022-2023 test trade-off.</x:v>
      </x:c>
      <x:c r="B3" s="251"/>
      <x:c r="C3" s="251"/>
      <x:c r="D3" s="251"/>
      <x:c r="E3" s="251"/>
      <x:c r="F3" s="251"/>
      <x:c r="G3" s="251"/>
      <x:c r="H3" s="251"/>
      <x:c r="I3" s="251"/>
      <x:c r="J3" s="251"/>
      <x:c r="K3" s="251"/>
      <x:c r="L3" s="251"/>
      <x:c r="M3" s="251"/>
    </x:row>
    <x:row r="4">
      <x:c r="A4" s="207"/>
      <x:c r="B4" s="207"/>
      <x:c r="C4" s="207"/>
      <x:c r="D4" s="207"/>
      <x:c r="E4" s="207"/>
      <x:c r="F4" s="207"/>
      <x:c r="G4" s="207"/>
      <x:c r="H4" s="207"/>
      <x:c r="I4" s="207"/>
      <x:c r="J4" s="207"/>
      <x:c r="K4" s="207"/>
      <x:c r="L4" s="207"/>
      <x:c r="M4" s="207"/>
    </x:row>
    <x:row r="5">
      <x:c r="A5" s="220" t="str">
        <x:v>Selected Model</x:v>
      </x:c>
      <x:c r="B5" s="252" t="str">
        <x:v>Calibrated Random Forest</x:v>
      </x:c>
      <x:c r="C5" s="207"/>
      <x:c r="D5" s="207"/>
      <x:c r="E5" s="207"/>
      <x:c r="F5" s="207"/>
      <x:c r="G5" s="207"/>
      <x:c r="H5" s="207"/>
      <x:c r="I5" s="207"/>
      <x:c r="J5" s="207"/>
      <x:c r="K5" s="207"/>
      <x:c r="L5" s="207"/>
      <x:c r="M5" s="207"/>
    </x:row>
    <x:row r="6">
      <x:c r="A6" s="220" t="str">
        <x:v>Decision Threshold</x:v>
      </x:c>
      <x:c r="B6" s="253" t="n">
        <x:v>0.17</x:v>
      </x:c>
      <x:c r="C6" s="207"/>
      <x:c r="D6" s="207"/>
      <x:c r="E6" s="207"/>
      <x:c r="F6" s="207"/>
      <x:c r="G6" s="207"/>
      <x:c r="H6" s="207"/>
      <x:c r="I6" s="207"/>
      <x:c r="J6" s="207"/>
      <x:c r="K6" s="207"/>
      <x:c r="L6" s="207"/>
      <x:c r="M6" s="207"/>
    </x:row>
    <x:row r="7">
      <x:c r="A7" s="220" t="str">
        <x:v>Opportunity Cost Rate</x:v>
      </x:c>
      <x:c r="B7" s="254" t="n">
        <x:v>0.02</x:v>
      </x:c>
      <x:c r="C7" s="207"/>
      <x:c r="D7" s="207"/>
      <x:c r="E7" s="207"/>
      <x:c r="F7" s="207"/>
      <x:c r="G7" s="207"/>
      <x:c r="H7" s="207"/>
      <x:c r="I7" s="207"/>
      <x:c r="J7" s="207"/>
      <x:c r="K7" s="207"/>
      <x:c r="L7" s="207"/>
      <x:c r="M7" s="207"/>
    </x:row>
    <x:row r="8">
      <x:c r="A8" s="207"/>
      <x:c r="B8" s="207"/>
      <x:c r="C8" s="207"/>
      <x:c r="D8" s="207"/>
      <x:c r="E8" s="207"/>
      <x:c r="F8" s="207"/>
      <x:c r="G8" s="207"/>
      <x:c r="H8" s="207"/>
      <x:c r="I8" s="207"/>
      <x:c r="J8" s="207"/>
      <x:c r="K8" s="207"/>
      <x:c r="L8" s="207"/>
      <x:c r="M8" s="207"/>
    </x:row>
    <x:row r="9">
      <x:c r="A9" s="9" t="str">
        <x:v>SELECTED TEST OUTCOME</x:v>
      </x:c>
      <x:c r="B9" s="9"/>
      <x:c r="C9" s="207"/>
      <x:c r="D9" s="207"/>
      <x:c r="E9" s="207"/>
      <x:c r="F9" s="207"/>
      <x:c r="G9" s="207"/>
      <x:c r="H9" s="207"/>
      <x:c r="I9" s="207"/>
      <x:c r="J9" s="207"/>
      <x:c r="K9" s="207"/>
      <x:c r="L9" s="207"/>
      <x:c r="M9" s="207"/>
    </x:row>
    <x:row r="10">
      <x:c r="A10" s="255" t="str">
        <x:v>Precision</x:v>
      </x:c>
      <x:c r="B10" s="256" t="n">
        <x:f>INDEX('Threshold Data'!$D$2:$D$100,MATCH($B$6,'Threshold Data'!$C$2:$C$100,0))</x:f>
        <x:v>0.1982194291699398</x:v>
      </x:c>
      <x:c r="C10" s="207"/>
      <x:c r="D10" s="207"/>
      <x:c r="E10" s="207"/>
      <x:c r="F10" s="207"/>
      <x:c r="G10" s="207"/>
      <x:c r="H10" s="207"/>
      <x:c r="I10" s="207"/>
      <x:c r="J10" s="207"/>
      <x:c r="K10" s="207"/>
      <x:c r="L10" s="207"/>
      <x:c r="M10" s="207"/>
    </x:row>
    <x:row r="11">
      <x:c r="A11" s="257" t="str">
        <x:v>Recall</x:v>
      </x:c>
      <x:c r="B11" s="258" t="n">
        <x:f>INDEX('Threshold Data'!$E$2:$E$100,MATCH($B$6,'Threshold Data'!$C$2:$C$100,0))</x:f>
        <x:v>0.8751445086705202</x:v>
      </x:c>
      <x:c r="C11" s="207"/>
      <x:c r="D11" s="207"/>
      <x:c r="E11" s="207"/>
      <x:c r="F11" s="207"/>
      <x:c r="G11" s="207"/>
      <x:c r="H11" s="207"/>
      <x:c r="I11" s="207"/>
      <x:c r="J11" s="207"/>
      <x:c r="K11" s="207"/>
      <x:c r="L11" s="207"/>
      <x:c r="M11" s="207"/>
    </x:row>
    <x:row r="12">
      <x:c r="A12" s="257" t="str">
        <x:v>F1 Score</x:v>
      </x:c>
      <x:c r="B12" s="258" t="n">
        <x:f>INDEX('Threshold Data'!$F$2:$F$100,MATCH($B$6,'Threshold Data'!$C$2:$C$100,0))</x:f>
        <x:v>0.3232280102476516</x:v>
      </x:c>
      <x:c r="C12" s="207"/>
      <x:c r="D12" s="207"/>
      <x:c r="E12" s="207"/>
      <x:c r="F12" s="207"/>
      <x:c r="G12" s="207"/>
      <x:c r="H12" s="207"/>
      <x:c r="I12" s="207"/>
      <x:c r="J12" s="207"/>
      <x:c r="K12" s="207"/>
      <x:c r="L12" s="207"/>
      <x:c r="M12" s="207"/>
    </x:row>
    <x:row r="13">
      <x:c r="A13" s="257" t="str">
        <x:v>Specificity</x:v>
      </x:c>
      <x:c r="B13" s="258" t="n">
        <x:f>INDEX('Threshold Data'!$G$2:$G$100,MATCH($B$6,'Threshold Data'!$C$2:$C$100,0))</x:f>
        <x:v>0.700156678417548</x:v>
      </x:c>
      <x:c r="C13" s="207"/>
      <x:c r="D13" s="207"/>
      <x:c r="E13" s="207"/>
      <x:c r="F13" s="207"/>
      <x:c r="G13" s="207"/>
      <x:c r="H13" s="207"/>
      <x:c r="I13" s="207"/>
      <x:c r="J13" s="207"/>
      <x:c r="K13" s="207"/>
      <x:c r="L13" s="207"/>
      <x:c r="M13" s="207"/>
    </x:row>
    <x:row r="14">
      <x:c r="A14" s="257" t="str">
        <x:v>Approval Rate</x:v>
      </x:c>
      <x:c r="B14" s="258" t="n">
        <x:f>INDEX('Threshold Data'!$H$2:$H$100,MATCH($B$6,'Threshold Data'!$C$2:$C$100,0))</x:f>
        <x:v>0.6552315608919382</x:v>
      </x:c>
      <x:c r="C14" s="207"/>
      <x:c r="D14" s="207"/>
      <x:c r="E14" s="207"/>
      <x:c r="F14" s="207"/>
      <x:c r="G14" s="207"/>
      <x:c r="H14" s="207"/>
      <x:c r="I14" s="207"/>
      <x:c r="J14" s="207"/>
      <x:c r="K14" s="207"/>
      <x:c r="L14" s="207"/>
      <x:c r="M14" s="207"/>
    </x:row>
    <x:row r="15">
      <x:c r="A15" s="257" t="str">
        <x:v>False Positives</x:v>
      </x:c>
      <x:c r="B15" s="259" t="n">
        <x:f>INDEX('Threshold Data'!$J$2:$J$100,MATCH($B$6,'Threshold Data'!$C$2:$C$100,0))</x:f>
        <x:v>3062</x:v>
      </x:c>
      <x:c r="C15" s="207"/>
      <x:c r="D15" s="207"/>
      <x:c r="E15" s="207"/>
      <x:c r="F15" s="207"/>
      <x:c r="G15" s="207"/>
      <x:c r="H15" s="207"/>
      <x:c r="I15" s="207"/>
      <x:c r="J15" s="207"/>
      <x:c r="K15" s="207"/>
      <x:c r="L15" s="207"/>
      <x:c r="M15" s="207"/>
    </x:row>
    <x:row r="16">
      <x:c r="A16" s="257" t="str">
        <x:v>False Negatives</x:v>
      </x:c>
      <x:c r="B16" s="259" t="n">
        <x:f>INDEX('Threshold Data'!$K$2:$K$100,MATCH($B$6,'Threshold Data'!$C$2:$C$100,0))</x:f>
        <x:v>108</x:v>
      </x:c>
      <x:c r="C16" s="207"/>
      <x:c r="D16" s="207"/>
      <x:c r="E16" s="207"/>
      <x:c r="F16" s="207"/>
      <x:c r="G16" s="207"/>
      <x:c r="H16" s="207"/>
      <x:c r="I16" s="207"/>
      <x:c r="J16" s="207"/>
      <x:c r="K16" s="207"/>
      <x:c r="L16" s="207"/>
      <x:c r="M16" s="207"/>
    </x:row>
    <x:row r="17">
      <x:c r="A17" s="257" t="str">
        <x:v>Missed Default Loss Exposure</x:v>
      </x:c>
      <x:c r="B17" s="244" t="n">
        <x:f>INDEX('Threshold Data'!$M$2:$M$100,MATCH($B$6,'Threshold Data'!$C$2:$C$100,0))</x:f>
        <x:v>176559725.55765104</x:v>
      </x:c>
      <x:c r="C17" s="207"/>
      <x:c r="D17" s="207"/>
      <x:c r="E17" s="207"/>
      <x:c r="F17" s="207"/>
      <x:c r="G17" s="207"/>
      <x:c r="H17" s="207"/>
      <x:c r="I17" s="207"/>
      <x:c r="J17" s="207"/>
      <x:c r="K17" s="207"/>
      <x:c r="L17" s="207"/>
      <x:c r="M17" s="207"/>
    </x:row>
    <x:row r="18">
      <x:c r="A18" s="257" t="str">
        <x:v>Rejected Good EAD</x:v>
      </x:c>
      <x:c r="B18" s="244" t="n">
        <x:f>INDEX('Threshold Data'!$N$2:$N$100,MATCH($B$6,'Threshold Data'!$C$2:$C$100,0))</x:f>
        <x:v>9818210645.03</x:v>
      </x:c>
      <x:c r="C18" s="207"/>
      <x:c r="D18" s="207"/>
      <x:c r="E18" s="207"/>
      <x:c r="F18" s="207"/>
      <x:c r="G18" s="207"/>
      <x:c r="H18" s="207"/>
      <x:c r="I18" s="207"/>
      <x:c r="J18" s="207"/>
      <x:c r="K18" s="207"/>
      <x:c r="L18" s="207"/>
      <x:c r="M18" s="207"/>
    </x:row>
    <x:row r="19">
      <x:c r="A19" s="260" t="str">
        <x:v>Dynamic Cost Proxy</x:v>
      </x:c>
      <x:c r="B19" s="261" t="n">
        <x:f>INDEX('Threshold Data'!$Q$2:$Q$100,MATCH($B$6,'Threshold Data'!$C$2:$C$100,0))</x:f>
        <x:v>372923938.45825106</x:v>
      </x:c>
      <x:c r="C19" s="207"/>
      <x:c r="D19" s="207"/>
      <x:c r="E19" s="207"/>
      <x:c r="F19" s="207"/>
      <x:c r="G19" s="207"/>
      <x:c r="H19" s="207"/>
      <x:c r="I19" s="207"/>
      <x:c r="J19" s="207"/>
      <x:c r="K19" s="207"/>
      <x:c r="L19" s="207"/>
      <x:c r="M19" s="207"/>
    </x:row>
    <x:row r="20">
      <x:c r="A20" s="207"/>
      <x:c r="B20" s="207"/>
      <x:c r="C20" s="207"/>
      <x:c r="D20" s="207"/>
      <x:c r="E20" s="207"/>
      <x:c r="F20" s="207"/>
      <x:c r="G20" s="207"/>
      <x:c r="H20" s="207"/>
      <x:c r="I20" s="207"/>
      <x:c r="J20" s="207"/>
      <x:c r="K20" s="207"/>
      <x:c r="L20" s="207"/>
      <x:c r="M20" s="207"/>
    </x:row>
    <x:row r="21">
      <x:c r="A21" s="207"/>
      <x:c r="B21" s="207"/>
      <x:c r="C21" s="207"/>
      <x:c r="D21" s="207"/>
      <x:c r="E21" s="207"/>
      <x:c r="F21" s="207"/>
      <x:c r="G21" s="207"/>
      <x:c r="H21" s="207"/>
      <x:c r="I21" s="207"/>
      <x:c r="J21" s="207"/>
      <x:c r="K21" s="207"/>
      <x:c r="L21" s="207"/>
      <x:c r="M21" s="207"/>
    </x:row>
    <x:row r="22">
      <x:c r="A22" s="207"/>
      <x:c r="B22" s="207"/>
      <x:c r="C22" s="207"/>
      <x:c r="D22" s="207"/>
      <x:c r="E22" s="207"/>
      <x:c r="F22" s="207"/>
      <x:c r="G22" s="207"/>
      <x:c r="H22" s="207"/>
      <x:c r="I22" s="207"/>
      <x:c r="J22" s="207"/>
      <x:c r="K22" s="207"/>
      <x:c r="L22" s="207"/>
      <x:c r="M22" s="207"/>
    </x:row>
    <x:row r="23">
      <x:c r="A23" s="116" t="str">
        <x:v>Threshold</x:v>
      </x:c>
      <x:c r="B23" s="117" t="str">
        <x:v>Precision</x:v>
      </x:c>
      <x:c r="C23" s="117" t="str">
        <x:v>Recall</x:v>
      </x:c>
      <x:c r="D23" s="118" t="str">
        <x:v>Approval Rate</x:v>
      </x:c>
      <x:c r="E23" s="207"/>
      <x:c r="F23" s="262" t="str">
        <x:v>Cost proxy = missed default EAD × LGD + rejected-good EAD × editable opportunity-cost rate. It is a scenario aid, not a measured realized cost or causal policy effect.</x:v>
      </x:c>
      <x:c r="G23" s="262"/>
      <x:c r="H23" s="262"/>
      <x:c r="I23" s="262"/>
      <x:c r="J23" s="262"/>
      <x:c r="K23" s="262"/>
      <x:c r="L23" s="262"/>
      <x:c r="M23" s="262"/>
    </x:row>
    <x:row r="24">
      <x:c r="A24" s="263" t="n">
        <x:f>'Threshold Data'!C2</x:f>
        <x:v>0.01</x:v>
      </x:c>
      <x:c r="B24" s="264" t="n">
        <x:f>'Threshold Data'!D2</x:f>
        <x:v>0.078089735487948</x:v>
      </x:c>
      <x:c r="C24" s="264" t="n">
        <x:f>'Threshold Data'!E2</x:f>
        <x:v>1</x:v>
      </x:c>
      <x:c r="D24" s="264" t="n">
        <x:f>'Threshold Data'!H2</x:f>
        <x:v>0</x:v>
      </x:c>
      <x:c r="E24" s="207"/>
      <x:c r="F24" s="262"/>
      <x:c r="G24" s="262"/>
      <x:c r="H24" s="262"/>
      <x:c r="I24" s="262"/>
      <x:c r="J24" s="262"/>
      <x:c r="K24" s="262"/>
      <x:c r="L24" s="262"/>
      <x:c r="M24" s="262"/>
    </x:row>
    <x:row r="25">
      <x:c r="A25" s="263" t="n">
        <x:f>'Threshold Data'!C3</x:f>
        <x:v>0.02</x:v>
      </x:c>
      <x:c r="B25" s="264" t="n">
        <x:f>'Threshold Data'!D3</x:f>
        <x:v>0.078089735487948</x:v>
      </x:c>
      <x:c r="C25" s="264" t="n">
        <x:f>'Threshold Data'!E3</x:f>
        <x:v>1</x:v>
      </x:c>
      <x:c r="D25" s="264" t="n">
        <x:f>'Threshold Data'!H3</x:f>
        <x:v>0</x:v>
      </x:c>
      <x:c r="E25" s="207"/>
      <x:c r="F25" s="262"/>
      <x:c r="G25" s="262"/>
      <x:c r="H25" s="262"/>
      <x:c r="I25" s="262"/>
      <x:c r="J25" s="262"/>
      <x:c r="K25" s="262"/>
      <x:c r="L25" s="262"/>
      <x:c r="M25" s="262"/>
    </x:row>
    <x:row r="26">
      <x:c r="A26" s="263" t="n">
        <x:f>'Threshold Data'!C4</x:f>
        <x:v>0.03</x:v>
      </x:c>
      <x:c r="B26" s="264" t="n">
        <x:f>'Threshold Data'!D4</x:f>
        <x:v>0.078089735487948</x:v>
      </x:c>
      <x:c r="C26" s="264" t="n">
        <x:f>'Threshold Data'!E4</x:f>
        <x:v>1</x:v>
      </x:c>
      <x:c r="D26" s="264" t="n">
        <x:f>'Threshold Data'!H4</x:f>
        <x:v>0</x:v>
      </x:c>
      <x:c r="E26" s="207"/>
      <x:c r="F26" s="262"/>
      <x:c r="G26" s="262"/>
      <x:c r="H26" s="262"/>
      <x:c r="I26" s="262"/>
      <x:c r="J26" s="262"/>
      <x:c r="K26" s="262"/>
      <x:c r="L26" s="262"/>
      <x:c r="M26" s="262"/>
    </x:row>
    <x:row r="27">
      <x:c r="A27" s="263" t="n">
        <x:f>'Threshold Data'!C5</x:f>
        <x:v>0.04</x:v>
      </x:c>
      <x:c r="B27" s="264" t="n">
        <x:f>'Threshold Data'!D5</x:f>
        <x:v>0.078089735487948</x:v>
      </x:c>
      <x:c r="C27" s="264" t="n">
        <x:f>'Threshold Data'!E5</x:f>
        <x:v>1</x:v>
      </x:c>
      <x:c r="D27" s="264" t="n">
        <x:f>'Threshold Data'!H5</x:f>
        <x:v>0</x:v>
      </x:c>
      <x:c r="E27" s="207"/>
      <x:c r="F27" s="207"/>
      <x:c r="G27" s="207"/>
      <x:c r="H27" s="207"/>
      <x:c r="I27" s="207"/>
      <x:c r="J27" s="207"/>
      <x:c r="K27" s="207"/>
      <x:c r="L27" s="207"/>
      <x:c r="M27" s="207"/>
    </x:row>
    <x:row r="28">
      <x:c r="A28" s="263" t="n">
        <x:f>'Threshold Data'!C6</x:f>
        <x:v>0.05</x:v>
      </x:c>
      <x:c r="B28" s="264" t="n">
        <x:f>'Threshold Data'!D6</x:f>
        <x:v>0.078089735487948</x:v>
      </x:c>
      <x:c r="C28" s="264" t="n">
        <x:f>'Threshold Data'!E6</x:f>
        <x:v>1</x:v>
      </x:c>
      <x:c r="D28" s="264" t="n">
        <x:f>'Threshold Data'!H6</x:f>
        <x:v>0</x:v>
      </x:c>
      <x:c r="E28" s="207"/>
      <x:c r="F28" s="207"/>
      <x:c r="G28" s="207"/>
      <x:c r="H28" s="207"/>
      <x:c r="I28" s="207"/>
      <x:c r="J28" s="207"/>
      <x:c r="K28" s="207"/>
      <x:c r="L28" s="207"/>
      <x:c r="M28" s="207"/>
    </x:row>
    <x:row r="29">
      <x:c r="A29" s="263" t="n">
        <x:f>'Threshold Data'!C7</x:f>
        <x:v>0.06</x:v>
      </x:c>
      <x:c r="B29" s="264" t="n">
        <x:f>'Threshold Data'!D7</x:f>
        <x:v>0.078089735487948</x:v>
      </x:c>
      <x:c r="C29" s="264" t="n">
        <x:f>'Threshold Data'!E7</x:f>
        <x:v>1</x:v>
      </x:c>
      <x:c r="D29" s="264" t="n">
        <x:f>'Threshold Data'!H7</x:f>
        <x:v>0</x:v>
      </x:c>
      <x:c r="E29" s="207"/>
      <x:c r="F29" s="207"/>
      <x:c r="G29" s="207"/>
      <x:c r="H29" s="207"/>
      <x:c r="I29" s="207"/>
      <x:c r="J29" s="207"/>
      <x:c r="K29" s="207"/>
      <x:c r="L29" s="207"/>
      <x:c r="M29" s="207"/>
    </x:row>
    <x:row r="30">
      <x:c r="A30" s="263" t="n">
        <x:f>'Threshold Data'!C8</x:f>
        <x:v>0.07</x:v>
      </x:c>
      <x:c r="B30" s="264" t="n">
        <x:f>'Threshold Data'!D8</x:f>
        <x:v>0.078089735487948</x:v>
      </x:c>
      <x:c r="C30" s="264" t="n">
        <x:f>'Threshold Data'!E8</x:f>
        <x:v>1</x:v>
      </x:c>
      <x:c r="D30" s="264" t="n">
        <x:f>'Threshold Data'!H8</x:f>
        <x:v>0</x:v>
      </x:c>
      <x:c r="E30" s="207"/>
      <x:c r="F30" s="207"/>
      <x:c r="G30" s="207"/>
      <x:c r="H30" s="207"/>
      <x:c r="I30" s="207"/>
      <x:c r="J30" s="207"/>
      <x:c r="K30" s="207"/>
      <x:c r="L30" s="207"/>
      <x:c r="M30" s="207"/>
    </x:row>
    <x:row r="31">
      <x:c r="A31" s="263" t="n">
        <x:f>'Threshold Data'!C9</x:f>
        <x:v>0.08</x:v>
      </x:c>
      <x:c r="B31" s="264" t="n">
        <x:f>'Threshold Data'!D9</x:f>
        <x:v>0.0788848263254113</x:v>
      </x:c>
      <x:c r="C31" s="264" t="n">
        <x:f>'Threshold Data'!E9</x:f>
        <x:v>0.9976878612716764</x:v>
      </x:c>
      <x:c r="D31" s="264" t="n">
        <x:f>'Threshold Data'!H9</x:f>
        <x:v>0.0123679696668773</x:v>
      </x:c>
      <x:c r="E31" s="207"/>
      <x:c r="F31" s="207"/>
      <x:c r="G31" s="207"/>
      <x:c r="H31" s="207"/>
      <x:c r="I31" s="207"/>
      <x:c r="J31" s="207"/>
      <x:c r="K31" s="207"/>
      <x:c r="L31" s="207"/>
      <x:c r="M31" s="207"/>
    </x:row>
    <x:row r="32">
      <x:c r="A32" s="263" t="n">
        <x:f>'Threshold Data'!C10</x:f>
        <x:v>0.09</x:v>
      </x:c>
      <x:c r="B32" s="264" t="n">
        <x:f>'Threshold Data'!D10</x:f>
        <x:v>0.0809389671361502</x:v>
      </x:c>
      <x:c r="C32" s="264" t="n">
        <x:f>'Threshold Data'!E10</x:f>
        <x:v>0.9965317919075144</x:v>
      </x:c>
      <x:c r="D32" s="264" t="n">
        <x:f>'Threshold Data'!H10</x:f>
        <x:v>0.0385483434142818</x:v>
      </x:c>
      <x:c r="E32" s="207"/>
      <x:c r="F32" s="207"/>
      <x:c r="G32" s="207"/>
      <x:c r="H32" s="207"/>
      <x:c r="I32" s="207"/>
      <x:c r="J32" s="207"/>
      <x:c r="K32" s="207"/>
      <x:c r="L32" s="207"/>
      <x:c r="M32" s="207"/>
    </x:row>
    <x:row r="33">
      <x:c r="A33" s="263" t="n">
        <x:f>'Threshold Data'!C11</x:f>
        <x:v>0.1</x:v>
      </x:c>
      <x:c r="B33" s="264" t="n">
        <x:f>'Threshold Data'!D11</x:f>
        <x:v>0.0840270296738811</x:v>
      </x:c>
      <x:c r="C33" s="264" t="n">
        <x:f>'Threshold Data'!E11</x:f>
        <x:v>0.991907514450867</x:v>
      </x:c>
      <x:c r="D33" s="264" t="n">
        <x:f>'Threshold Data'!H11</x:f>
        <x:v>0.0781800126388011</x:v>
      </x:c>
      <x:c r="E33" s="207"/>
      <x:c r="F33" s="207"/>
      <x:c r="G33" s="207"/>
      <x:c r="H33" s="207"/>
      <x:c r="I33" s="207"/>
      <x:c r="J33" s="207"/>
      <x:c r="K33" s="207"/>
      <x:c r="L33" s="207"/>
      <x:c r="M33" s="207"/>
    </x:row>
    <x:row r="34">
      <x:c r="A34" s="263" t="n">
        <x:f>'Threshold Data'!C12</x:f>
        <x:v>0.11</x:v>
      </x:c>
      <x:c r="B34" s="264" t="n">
        <x:f>'Threshold Data'!D12</x:f>
        <x:v>0.0878357357668775</x:v>
      </x:c>
      <x:c r="C34" s="264" t="n">
        <x:f>'Threshold Data'!E12</x:f>
        <x:v>0.9791907514450868</x:v>
      </x:c>
      <x:c r="D34" s="264" t="n">
        <x:f>'Threshold Data'!H12</x:f>
        <x:v>0.1294574343233727</x:v>
      </x:c>
      <x:c r="E34" s="207"/>
      <x:c r="F34" s="207"/>
      <x:c r="G34" s="207"/>
      <x:c r="H34" s="207"/>
      <x:c r="I34" s="207"/>
      <x:c r="J34" s="207"/>
      <x:c r="K34" s="207"/>
      <x:c r="L34" s="207"/>
      <x:c r="M34" s="207"/>
    </x:row>
    <x:row r="35">
      <x:c r="A35" s="263" t="n">
        <x:f>'Threshold Data'!C13</x:f>
        <x:v>0.12</x:v>
      </x:c>
      <x:c r="B35" s="264" t="n">
        <x:f>'Threshold Data'!D13</x:f>
        <x:v>0.0957178841309823</x:v>
      </x:c>
      <x:c r="C35" s="264" t="n">
        <x:f>'Threshold Data'!E13</x:f>
        <x:v>0.9664739884393064</x:v>
      </x:c>
      <x:c r="D35" s="264" t="n">
        <x:f>'Threshold Data'!H13</x:f>
        <x:v>0.211519364448858</x:v>
      </x:c>
      <x:c r="E35" s="207"/>
      <x:c r="F35" s="207"/>
      <x:c r="G35" s="207"/>
      <x:c r="H35" s="207"/>
      <x:c r="I35" s="207"/>
      <x:c r="J35" s="207"/>
      <x:c r="K35" s="207"/>
      <x:c r="L35" s="207"/>
      <x:c r="M35" s="207"/>
    </x:row>
    <x:row r="36">
      <x:c r="A36" s="263" t="n">
        <x:f>'Threshold Data'!C14</x:f>
        <x:v>0.13</x:v>
      </x:c>
      <x:c r="B36" s="264" t="n">
        <x:f>'Threshold Data'!D14</x:f>
        <x:v>0.1084527408965426</x:v>
      </x:c>
      <x:c r="C36" s="264" t="n">
        <x:f>'Threshold Data'!E14</x:f>
        <x:v>0.953757225433526</x:v>
      </x:c>
      <x:c r="D36" s="264" t="n">
        <x:f>'Threshold Data'!H14</x:f>
        <x:v>0.3132617134603231</x:v>
      </x:c>
      <x:c r="E36" s="207"/>
      <x:c r="F36" s="207"/>
      <x:c r="G36" s="207"/>
      <x:c r="H36" s="207"/>
      <x:c r="I36" s="207"/>
      <x:c r="J36" s="207"/>
      <x:c r="K36" s="207"/>
      <x:c r="L36" s="207"/>
      <x:c r="M36" s="207"/>
    </x:row>
    <x:row r="37">
      <x:c r="A37" s="263" t="n">
        <x:f>'Threshold Data'!C15</x:f>
        <x:v>0.14</x:v>
      </x:c>
      <x:c r="B37" s="264" t="n">
        <x:f>'Threshold Data'!D15</x:f>
        <x:v>0.1243857493857493</x:v>
      </x:c>
      <x:c r="C37" s="264" t="n">
        <x:f>'Threshold Data'!E15</x:f>
        <x:v>0.9364161849710982</x:v>
      </x:c>
      <x:c r="D37" s="264" t="n">
        <x:f>'Threshold Data'!H15</x:f>
        <x:v>0.4121151936444885</x:v>
      </x:c>
      <x:c r="E37" s="207"/>
      <x:c r="F37" s="207"/>
      <x:c r="G37" s="207"/>
      <x:c r="H37" s="207"/>
      <x:c r="I37" s="207"/>
      <x:c r="J37" s="207"/>
      <x:c r="K37" s="207"/>
      <x:c r="L37" s="207"/>
      <x:c r="M37" s="207"/>
    </x:row>
    <x:row r="38">
      <x:c r="A38" s="263" t="n">
        <x:f>'Threshold Data'!C16</x:f>
        <x:v>0.15</x:v>
      </x:c>
      <x:c r="B38" s="264" t="n">
        <x:f>'Threshold Data'!D16</x:f>
        <x:v>0.1441556080712597</x:v>
      </x:c>
      <x:c r="C38" s="264" t="n">
        <x:f>'Threshold Data'!E16</x:f>
        <x:v>0.9167630057803468</x:v>
      </x:c>
      <x:c r="D38" s="264" t="n">
        <x:f>'Threshold Data'!H16</x:f>
        <x:v>0.503385393156992</x:v>
      </x:c>
      <x:c r="E38" s="207"/>
      <x:c r="F38" s="207"/>
      <x:c r="G38" s="207"/>
      <x:c r="H38" s="207"/>
      <x:c r="I38" s="207"/>
      <x:c r="J38" s="207"/>
      <x:c r="K38" s="207"/>
      <x:c r="L38" s="207"/>
      <x:c r="M38" s="207"/>
    </x:row>
    <x:row r="39">
      <x:c r="A39" s="263" t="n">
        <x:f>'Threshold Data'!C17</x:f>
        <x:v>0.16</x:v>
      </x:c>
      <x:c r="B39" s="264" t="n">
        <x:f>'Threshold Data'!D17</x:f>
        <x:v>0.1678579163959281</x:v>
      </x:c>
      <x:c r="C39" s="264" t="n">
        <x:f>'Threshold Data'!E17</x:f>
        <x:v>0.8959537572254336</x:v>
      </x:c>
      <x:c r="D39" s="264" t="n">
        <x:f>'Threshold Data'!H17</x:f>
        <x:v>0.5831903945111492</x:v>
      </x:c>
      <x:c r="E39" s="207"/>
      <x:c r="F39" s="207"/>
      <x:c r="G39" s="207"/>
      <x:c r="H39" s="207"/>
      <x:c r="I39" s="207"/>
      <x:c r="J39" s="207"/>
      <x:c r="K39" s="207"/>
      <x:c r="L39" s="207"/>
      <x:c r="M39" s="207"/>
    </x:row>
    <x:row r="40">
      <x:c r="A40" s="263" t="n">
        <x:f>'Threshold Data'!C18</x:f>
        <x:v>0.17</x:v>
      </x:c>
      <x:c r="B40" s="264" t="n">
        <x:f>'Threshold Data'!D18</x:f>
        <x:v>0.1982194291699398</x:v>
      </x:c>
      <x:c r="C40" s="264" t="n">
        <x:f>'Threshold Data'!E18</x:f>
        <x:v>0.8751445086705202</x:v>
      </x:c>
      <x:c r="D40" s="264" t="n">
        <x:f>'Threshold Data'!H18</x:f>
        <x:v>0.6552315608919382</x:v>
      </x:c>
      <x:c r="E40" s="207"/>
      <x:c r="F40" s="207"/>
      <x:c r="G40" s="207"/>
      <x:c r="H40" s="207"/>
      <x:c r="I40" s="207"/>
      <x:c r="J40" s="207"/>
      <x:c r="K40" s="207"/>
      <x:c r="L40" s="207"/>
      <x:c r="M40" s="207"/>
    </x:row>
    <x:row r="41">
      <x:c r="A41" s="263" t="n">
        <x:f>'Threshold Data'!C19</x:f>
        <x:v>0.18</x:v>
      </x:c>
      <x:c r="B41" s="264" t="n">
        <x:f>'Threshold Data'!D19</x:f>
        <x:v>0.2290804963410754</x:v>
      </x:c>
      <x:c r="C41" s="264" t="n">
        <x:f>'Threshold Data'!E19</x:f>
        <x:v>0.8323699421965318</x:v>
      </x:c>
      <x:c r="D41" s="264" t="n">
        <x:f>'Threshold Data'!H19</x:f>
        <x:v>0.7162589148686467</x:v>
      </x:c>
      <x:c r="E41" s="207"/>
      <x:c r="F41" s="207"/>
      <x:c r="G41" s="207"/>
      <x:c r="H41" s="207"/>
      <x:c r="I41" s="207"/>
      <x:c r="J41" s="207"/>
      <x:c r="K41" s="207"/>
      <x:c r="L41" s="207"/>
      <x:c r="M41" s="207"/>
    </x:row>
    <x:row r="42">
      <x:c r="A42" s="263" t="n">
        <x:f>'Threshold Data'!C20</x:f>
        <x:v>0.19</x:v>
      </x:c>
      <x:c r="B42" s="264" t="n">
        <x:f>'Threshold Data'!D20</x:f>
        <x:v>0.2720063441712926</x:v>
      </x:c>
      <x:c r="C42" s="264" t="n">
        <x:f>'Threshold Data'!E20</x:f>
        <x:v>0.793063583815029</x:v>
      </x:c>
      <x:c r="D42" s="264" t="n">
        <x:f>'Threshold Data'!H20</x:f>
        <x:v>0.7723210255484336</x:v>
      </x:c>
      <x:c r="E42" s="207"/>
      <x:c r="F42" s="207"/>
      <x:c r="G42" s="207"/>
      <x:c r="H42" s="207"/>
      <x:c r="I42" s="207"/>
      <x:c r="J42" s="207"/>
      <x:c r="K42" s="207"/>
      <x:c r="L42" s="207"/>
      <x:c r="M42" s="207"/>
    </x:row>
    <x:row r="43">
      <x:c r="A43" s="263" t="n">
        <x:f>'Threshold Data'!C21</x:f>
        <x:v>0.2</x:v>
      </x:c>
      <x:c r="B43" s="264" t="n">
        <x:f>'Threshold Data'!D21</x:f>
        <x:v>0.3128893148059415</x:v>
      </x:c>
      <x:c r="C43" s="264" t="n">
        <x:f>'Threshold Data'!E21</x:f>
        <x:v>0.7549132947976879</x:v>
      </x:c>
      <x:c r="D43" s="264" t="n">
        <x:f>'Threshold Data'!H21</x:f>
        <x:v>0.8115915861695405</x:v>
      </x:c>
      <x:c r="E43" s="207"/>
      <x:c r="F43" s="207"/>
      <x:c r="G43" s="207"/>
      <x:c r="H43" s="207"/>
      <x:c r="I43" s="207"/>
      <x:c r="J43" s="207"/>
      <x:c r="K43" s="207"/>
      <x:c r="L43" s="207"/>
      <x:c r="M43" s="207"/>
    </x:row>
    <x:row r="44">
      <x:c r="A44" s="263" t="n">
        <x:f>'Threshold Data'!C22</x:f>
        <x:v>0.21</x:v>
      </x:c>
      <x:c r="B44" s="264" t="n">
        <x:f>'Threshold Data'!D22</x:f>
        <x:v>0.3389737991266375</x:v>
      </x:c>
      <x:c r="C44" s="264" t="n">
        <x:f>'Threshold Data'!E22</x:f>
        <x:v>0.7179190751445087</x:v>
      </x:c>
      <x:c r="D44" s="264" t="n">
        <x:f>'Threshold Data'!H22</x:f>
        <x:v>0.8346122596370859</x:v>
      </x:c>
      <x:c r="E44" s="207"/>
      <x:c r="F44" s="207"/>
      <x:c r="G44" s="207"/>
      <x:c r="H44" s="207"/>
      <x:c r="I44" s="207"/>
      <x:c r="J44" s="207"/>
      <x:c r="K44" s="207"/>
      <x:c r="L44" s="207"/>
      <x:c r="M44" s="207"/>
    </x:row>
    <x:row r="45">
      <x:c r="A45" s="263" t="n">
        <x:f>'Threshold Data'!C23</x:f>
        <x:v>0.22</x:v>
      </x:c>
      <x:c r="B45" s="264" t="n">
        <x:f>'Threshold Data'!D23</x:f>
        <x:v>0.3527679623085983</x:v>
      </x:c>
      <x:c r="C45" s="264" t="n">
        <x:f>'Threshold Data'!E23</x:f>
        <x:v>0.692485549132948</x:v>
      </x:c>
      <x:c r="D45" s="264" t="n">
        <x:f>'Threshold Data'!H23</x:f>
        <x:v>0.8467093978514038</x:v>
      </x:c>
      <x:c r="E45" s="207"/>
      <x:c r="F45" s="207"/>
      <x:c r="G45" s="207"/>
      <x:c r="H45" s="207"/>
      <x:c r="I45" s="207"/>
      <x:c r="J45" s="207"/>
      <x:c r="K45" s="207"/>
      <x:c r="L45" s="207"/>
      <x:c r="M45" s="207"/>
    </x:row>
    <x:row r="46">
      <x:c r="A46" s="263" t="n">
        <x:f>'Threshold Data'!C24</x:f>
        <x:v>0.23</x:v>
      </x:c>
      <x:c r="B46" s="264" t="n">
        <x:f>'Threshold Data'!D24</x:f>
        <x:v>0.3648562300319489</x:v>
      </x:c>
      <x:c r="C46" s="264" t="n">
        <x:f>'Threshold Data'!E24</x:f>
        <x:v>0.6601156069364161</x:v>
      </x:c>
      <x:c r="D46" s="264" t="n">
        <x:f>'Threshold Data'!H24</x:f>
        <x:v>0.8587162589148687</x:v>
      </x:c>
      <x:c r="E46" s="207"/>
      <x:c r="F46" s="207"/>
      <x:c r="G46" s="207"/>
      <x:c r="H46" s="207"/>
      <x:c r="I46" s="207"/>
      <x:c r="J46" s="207"/>
      <x:c r="K46" s="207"/>
      <x:c r="L46" s="207"/>
      <x:c r="M46" s="207"/>
    </x:row>
    <x:row r="47">
      <x:c r="A47" s="263" t="n">
        <x:f>'Threshold Data'!C25</x:f>
        <x:v>0.24</x:v>
      </x:c>
      <x:c r="B47" s="264" t="n">
        <x:f>'Threshold Data'!D25</x:f>
        <x:v>0.3855932203389831</x:v>
      </x:c>
      <x:c r="C47" s="264" t="n">
        <x:f>'Threshold Data'!E25</x:f>
        <x:v>0.63121387283237</x:v>
      </x:c>
      <x:c r="D47" s="264" t="n">
        <x:f>'Threshold Data'!H25</x:f>
        <x:v>0.8721675543919833</x:v>
      </x:c>
      <x:c r="E47" s="207"/>
      <x:c r="F47" s="207"/>
      <x:c r="G47" s="207"/>
      <x:c r="H47" s="207"/>
      <x:c r="I47" s="207"/>
      <x:c r="J47" s="207"/>
      <x:c r="K47" s="207"/>
      <x:c r="L47" s="207"/>
      <x:c r="M47" s="207"/>
    </x:row>
    <x:row r="48">
      <x:c r="A48" s="263" t="n">
        <x:f>'Threshold Data'!C26</x:f>
        <x:v>0.25</x:v>
      </x:c>
      <x:c r="B48" s="264" t="n">
        <x:f>'Threshold Data'!D26</x:f>
        <x:v>0.4045206547155105</x:v>
      </x:c>
      <x:c r="C48" s="264" t="n">
        <x:f>'Threshold Data'!E26</x:f>
        <x:v>0.6</x:v>
      </x:c>
      <x:c r="D48" s="264" t="n">
        <x:f>'Threshold Data'!H26</x:f>
        <x:v>0.8841744154554483</x:v>
      </x:c>
      <x:c r="E48" s="207"/>
      <x:c r="F48" s="207"/>
      <x:c r="G48" s="207"/>
      <x:c r="H48" s="207"/>
      <x:c r="I48" s="207"/>
      <x:c r="J48" s="207"/>
      <x:c r="K48" s="207"/>
      <x:c r="L48" s="207"/>
      <x:c r="M48" s="207"/>
    </x:row>
    <x:row r="49">
      <x:c r="A49" s="263" t="n">
        <x:f>'Threshold Data'!C27</x:f>
        <x:v>0.26</x:v>
      </x:c>
      <x:c r="B49" s="264" t="n">
        <x:f>'Threshold Data'!D27</x:f>
        <x:v>0.4179620034542314</x:v>
      </x:c>
      <x:c r="C49" s="264" t="n">
        <x:f>'Threshold Data'!E27</x:f>
        <x:v>0.5595375722543353</x:v>
      </x:c>
      <x:c r="D49" s="264" t="n">
        <x:f>'Threshold Data'!H27</x:f>
        <x:v>0.8954590593120881</x:v>
      </x:c>
      <x:c r="E49" s="207"/>
      <x:c r="F49" s="207"/>
      <x:c r="G49" s="207"/>
      <x:c r="H49" s="207"/>
      <x:c r="I49" s="207"/>
      <x:c r="J49" s="207"/>
      <x:c r="K49" s="207"/>
      <x:c r="L49" s="207"/>
      <x:c r="M49" s="207"/>
    </x:row>
    <x:row r="50">
      <x:c r="A50" s="263" t="n">
        <x:f>'Threshold Data'!C28</x:f>
        <x:v>0.27</x:v>
      </x:c>
      <x:c r="B50" s="264" t="n">
        <x:f>'Threshold Data'!D28</x:f>
        <x:v>0.4422158548233046</x:v>
      </x:c>
      <x:c r="C50" s="264" t="n">
        <x:f>'Threshold Data'!E28</x:f>
        <x:v>0.5352601156069364</x:v>
      </x:c>
      <x:c r="D50" s="264" t="n">
        <x:f>'Threshold Data'!H28</x:f>
        <x:v>0.9054798230567844</x:v>
      </x:c>
      <x:c r="E50" s="207"/>
      <x:c r="F50" s="207"/>
      <x:c r="G50" s="207"/>
      <x:c r="H50" s="207"/>
      <x:c r="I50" s="207"/>
      <x:c r="J50" s="207"/>
      <x:c r="K50" s="207"/>
      <x:c r="L50" s="207"/>
      <x:c r="M50" s="207"/>
    </x:row>
    <x:row r="51">
      <x:c r="A51" s="263" t="n">
        <x:f>'Threshold Data'!C29</x:f>
        <x:v>0.28</x:v>
      </x:c>
      <x:c r="B51" s="264" t="n">
        <x:f>'Threshold Data'!D29</x:f>
        <x:v>0.4591728525980912</x:v>
      </x:c>
      <x:c r="C51" s="264" t="n">
        <x:f>'Threshold Data'!E29</x:f>
        <x:v>0.500578034682081</x:v>
      </x:c>
      <x:c r="D51" s="264" t="n">
        <x:f>'Threshold Data'!H29</x:f>
        <x:v>0.9148686467455088</x:v>
      </x:c>
      <x:c r="E51" s="207"/>
      <x:c r="F51" s="207"/>
      <x:c r="G51" s="207"/>
      <x:c r="H51" s="207"/>
      <x:c r="I51" s="207"/>
      <x:c r="J51" s="207"/>
      <x:c r="K51" s="207"/>
      <x:c r="L51" s="207"/>
      <x:c r="M51" s="207"/>
    </x:row>
    <x:row r="52">
      <x:c r="A52" s="263" t="n">
        <x:f>'Threshold Data'!C30</x:f>
        <x:v>0.29</x:v>
      </x:c>
      <x:c r="B52" s="264" t="n">
        <x:f>'Threshold Data'!D30</x:f>
        <x:v>0.4732041049030787</x:v>
      </x:c>
      <x:c r="C52" s="264" t="n">
        <x:f>'Threshold Data'!E30</x:f>
        <x:v>0.4797687861271676</x:v>
      </x:c>
      <x:c r="D52" s="264" t="n">
        <x:f>'Threshold Data'!H30</x:f>
        <x:v>0.9208269387018144</x:v>
      </x:c>
      <x:c r="E52" s="207"/>
      <x:c r="F52" s="207"/>
      <x:c r="G52" s="207"/>
      <x:c r="H52" s="207"/>
      <x:c r="I52" s="207"/>
      <x:c r="J52" s="207"/>
      <x:c r="K52" s="207"/>
      <x:c r="L52" s="207"/>
      <x:c r="M52" s="207"/>
    </x:row>
    <x:row r="53">
      <x:c r="A53" s="263" t="n">
        <x:f>'Threshold Data'!C31</x:f>
        <x:v>0.3</x:v>
      </x:c>
      <x:c r="B53" s="264" t="n">
        <x:f>'Threshold Data'!D31</x:f>
        <x:v>0.4803337306317044</x:v>
      </x:c>
      <x:c r="C53" s="264" t="n">
        <x:f>'Threshold Data'!E31</x:f>
        <x:v>0.4658959537572254</x:v>
      </x:c>
      <x:c r="D53" s="264" t="n">
        <x:f>'Threshold Data'!H31</x:f>
        <x:v>0.9242574704342332</x:v>
      </x:c>
      <x:c r="E53" s="207"/>
      <x:c r="F53" s="207"/>
      <x:c r="G53" s="207"/>
      <x:c r="H53" s="207"/>
      <x:c r="I53" s="207"/>
      <x:c r="J53" s="207"/>
      <x:c r="K53" s="207"/>
      <x:c r="L53" s="207"/>
      <x:c r="M53" s="207"/>
    </x:row>
    <x:row r="54">
      <x:c r="A54" s="263" t="n">
        <x:f>'Threshold Data'!C32</x:f>
        <x:v>0.31</x:v>
      </x:c>
      <x:c r="B54" s="264" t="n">
        <x:f>'Threshold Data'!D32</x:f>
        <x:v>0.4887780548628428</x:v>
      </x:c>
      <x:c r="C54" s="264" t="n">
        <x:f>'Threshold Data'!E32</x:f>
        <x:v>0.4531791907514451</x:v>
      </x:c>
      <x:c r="D54" s="264" t="n">
        <x:f>'Threshold Data'!H32</x:f>
        <x:v>0.9275977250157984</x:v>
      </x:c>
      <x:c r="E54" s="207"/>
      <x:c r="F54" s="207"/>
      <x:c r="G54" s="207"/>
      <x:c r="H54" s="207"/>
      <x:c r="I54" s="207"/>
      <x:c r="J54" s="207"/>
      <x:c r="K54" s="207"/>
      <x:c r="L54" s="207"/>
      <x:c r="M54" s="207"/>
    </x:row>
    <x:row r="55">
      <x:c r="A55" s="263" t="n">
        <x:f>'Threshold Data'!C33</x:f>
        <x:v>0.32</x:v>
      </x:c>
      <x:c r="B55" s="264" t="n">
        <x:f>'Threshold Data'!D33</x:f>
        <x:v>0.4948320413436692</x:v>
      </x:c>
      <x:c r="C55" s="264" t="n">
        <x:f>'Threshold Data'!E33</x:f>
        <x:v>0.4427745664739884</x:v>
      </x:c>
      <x:c r="D55" s="264" t="n">
        <x:f>'Threshold Data'!H33</x:f>
        <x:v>0.930125485239686</x:v>
      </x:c>
      <x:c r="E55" s="207"/>
      <x:c r="F55" s="207"/>
      <x:c r="G55" s="207"/>
      <x:c r="H55" s="207"/>
      <x:c r="I55" s="207"/>
      <x:c r="J55" s="207"/>
      <x:c r="K55" s="207"/>
      <x:c r="L55" s="207"/>
      <x:c r="M55" s="207"/>
    </x:row>
    <x:row r="56">
      <x:c r="A56" s="263" t="n">
        <x:f>'Threshold Data'!C34</x:f>
        <x:v>0.33</x:v>
      </x:c>
      <x:c r="B56" s="264" t="n">
        <x:f>'Threshold Data'!D34</x:f>
        <x:v>0.4986413043478261</x:v>
      </x:c>
      <x:c r="C56" s="264" t="n">
        <x:f>'Threshold Data'!E34</x:f>
        <x:v>0.4242774566473988</x:v>
      </x:c>
      <x:c r="D56" s="264" t="n">
        <x:f>'Threshold Data'!H34</x:f>
        <x:v>0.9335560169721044</x:v>
      </x:c>
      <x:c r="E56" s="207"/>
      <x:c r="F56" s="207"/>
      <x:c r="G56" s="207"/>
      <x:c r="H56" s="207"/>
      <x:c r="I56" s="207"/>
      <x:c r="J56" s="207"/>
      <x:c r="K56" s="207"/>
      <x:c r="L56" s="207"/>
      <x:c r="M56" s="207"/>
    </x:row>
    <x:row r="57">
      <x:c r="A57" s="263" t="n">
        <x:f>'Threshold Data'!C35</x:f>
        <x:v>0.34</x:v>
      </x:c>
      <x:c r="B57" s="264" t="n">
        <x:f>'Threshold Data'!D35</x:f>
        <x:v>0.5035161744022504</x:v>
      </x:c>
      <x:c r="C57" s="264" t="n">
        <x:f>'Threshold Data'!E35</x:f>
        <x:v>0.4138728323699422</x:v>
      </x:c>
      <x:c r="D57" s="264" t="n">
        <x:f>'Threshold Data'!H35</x:f>
        <x:v>0.9358129457434324</x:v>
      </x:c>
      <x:c r="E57" s="207"/>
      <x:c r="F57" s="207"/>
      <x:c r="G57" s="207"/>
      <x:c r="H57" s="207"/>
      <x:c r="I57" s="207"/>
      <x:c r="J57" s="207"/>
      <x:c r="K57" s="207"/>
      <x:c r="L57" s="207"/>
      <x:c r="M57" s="207"/>
    </x:row>
    <x:row r="58">
      <x:c r="A58" s="263" t="n">
        <x:f>'Threshold Data'!C36</x:f>
        <x:v>0.35</x:v>
      </x:c>
      <x:c r="B58" s="264" t="n">
        <x:f>'Threshold Data'!D36</x:f>
        <x:v>0.5141158989598811</x:v>
      </x:c>
      <x:c r="C58" s="264" t="n">
        <x:f>'Threshold Data'!E36</x:f>
        <x:v>0.4</x:v>
      </x:c>
      <x:c r="D58" s="264" t="n">
        <x:f>'Threshold Data'!H36</x:f>
        <x:v>0.9392434774758508</x:v>
      </x:c>
      <x:c r="E58" s="207"/>
      <x:c r="F58" s="207"/>
      <x:c r="G58" s="207"/>
      <x:c r="H58" s="207"/>
      <x:c r="I58" s="207"/>
      <x:c r="J58" s="207"/>
      <x:c r="K58" s="207"/>
      <x:c r="L58" s="207"/>
      <x:c r="M58" s="207"/>
    </x:row>
    <x:row r="59">
      <x:c r="A59" s="263" t="n">
        <x:f>'Threshold Data'!C37</x:f>
        <x:v>0.36</x:v>
      </x:c>
      <x:c r="B59" s="264" t="n">
        <x:f>'Threshold Data'!D37</x:f>
        <x:v>0.5224358974358975</x:v>
      </x:c>
      <x:c r="C59" s="264" t="n">
        <x:f>'Threshold Data'!E37</x:f>
        <x:v>0.376878612716763</x:v>
      </x:c>
      <x:c r="D59" s="264" t="n">
        <x:f>'Threshold Data'!H37</x:f>
        <x:v>0.9436670578676536</x:v>
      </x:c>
      <x:c r="E59" s="207"/>
      <x:c r="F59" s="207"/>
      <x:c r="G59" s="207"/>
      <x:c r="H59" s="207"/>
      <x:c r="I59" s="207"/>
      <x:c r="J59" s="207"/>
      <x:c r="K59" s="207"/>
      <x:c r="L59" s="207"/>
      <x:c r="M59" s="207"/>
    </x:row>
    <x:row r="60">
      <x:c r="A60" s="263" t="n">
        <x:f>'Threshold Data'!C38</x:f>
        <x:v>0.37</x:v>
      </x:c>
      <x:c r="B60" s="264" t="n">
        <x:f>'Threshold Data'!D38</x:f>
        <x:v>0.5231316725978647</x:v>
      </x:c>
      <x:c r="C60" s="264" t="n">
        <x:f>'Threshold Data'!E38</x:f>
        <x:v>0.3398843930635838</x:v>
      </x:c>
      <x:c r="D60" s="264" t="n">
        <x:f>'Threshold Data'!H38</x:f>
        <x:v>0.9492642412205472</x:v>
      </x:c>
      <x:c r="E60" s="207"/>
      <x:c r="F60" s="207"/>
      <x:c r="G60" s="207"/>
      <x:c r="H60" s="207"/>
      <x:c r="I60" s="207"/>
      <x:c r="J60" s="207"/>
      <x:c r="K60" s="207"/>
      <x:c r="L60" s="207"/>
      <x:c r="M60" s="207"/>
    </x:row>
    <x:row r="61">
      <x:c r="A61" s="263" t="n">
        <x:f>'Threshold Data'!C39</x:f>
        <x:v>0.38</x:v>
      </x:c>
      <x:c r="B61" s="264" t="n">
        <x:f>'Threshold Data'!D39</x:f>
        <x:v>0.5217391304347826</x:v>
      </x:c>
      <x:c r="C61" s="264" t="n">
        <x:f>'Threshold Data'!E39</x:f>
        <x:v>0.3052023121387283</x:v>
      </x:c>
      <x:c r="D61" s="264" t="n">
        <x:f>'Threshold Data'!H39</x:f>
        <x:v>0.9543197616683218</x:v>
      </x:c>
      <x:c r="E61" s="207"/>
      <x:c r="F61" s="207"/>
      <x:c r="G61" s="207"/>
      <x:c r="H61" s="207"/>
      <x:c r="I61" s="207"/>
      <x:c r="J61" s="207"/>
      <x:c r="K61" s="207"/>
      <x:c r="L61" s="207"/>
      <x:c r="M61" s="207"/>
    </x:row>
    <x:row r="62">
      <x:c r="A62" s="263" t="n">
        <x:f>'Threshold Data'!C40</x:f>
        <x:v>0.39</x:v>
      </x:c>
      <x:c r="B62" s="264" t="n">
        <x:f>'Threshold Data'!D40</x:f>
        <x:v>0.5266666666666666</x:v>
      </x:c>
      <x:c r="C62" s="264" t="n">
        <x:f>'Threshold Data'!E40</x:f>
        <x:v>0.2739884393063583</x:v>
      </x:c>
      <x:c r="D62" s="264" t="n">
        <x:f>'Threshold Data'!H40</x:f>
        <x:v>0.9593752821160964</x:v>
      </x:c>
      <x:c r="E62" s="207"/>
      <x:c r="F62" s="207"/>
      <x:c r="G62" s="207"/>
      <x:c r="H62" s="207"/>
      <x:c r="I62" s="207"/>
      <x:c r="J62" s="207"/>
      <x:c r="K62" s="207"/>
      <x:c r="L62" s="207"/>
      <x:c r="M62" s="207"/>
    </x:row>
    <x:row r="63">
      <x:c r="A63" s="263" t="n">
        <x:f>'Threshold Data'!C41</x:f>
        <x:v>0.4</x:v>
      </x:c>
      <x:c r="B63" s="264" t="n">
        <x:f>'Threshold Data'!D41</x:f>
        <x:v>0.538860103626943</x:v>
      </x:c>
      <x:c r="C63" s="264" t="n">
        <x:f>'Threshold Data'!E41</x:f>
        <x:v>0.2404624277456647</x:v>
      </x:c>
      <x:c r="D63" s="264" t="n">
        <x:f>'Threshold Data'!H41</x:f>
        <x:v>0.965153019770696</x:v>
      </x:c>
      <x:c r="E63" s="207"/>
      <x:c r="F63" s="207"/>
      <x:c r="G63" s="207"/>
      <x:c r="H63" s="207"/>
      <x:c r="I63" s="207"/>
      <x:c r="J63" s="207"/>
      <x:c r="K63" s="207"/>
      <x:c r="L63" s="207"/>
      <x:c r="M63" s="207"/>
    </x:row>
    <x:row r="64">
      <x:c r="A64" s="263" t="n">
        <x:f>'Threshold Data'!C42</x:f>
        <x:v>0.41</x:v>
      </x:c>
      <x:c r="B64" s="264" t="n">
        <x:f>'Threshold Data'!D42</x:f>
        <x:v>0.5562913907284768</x:v>
      </x:c>
      <x:c r="C64" s="264" t="n">
        <x:f>'Threshold Data'!E42</x:f>
        <x:v>0.1942196531791907</x:v>
      </x:c>
      <x:c r="D64" s="264" t="n">
        <x:f>'Threshold Data'!H42</x:f>
        <x:v>0.972736300442358</x:v>
      </x:c>
      <x:c r="E64" s="207"/>
      <x:c r="F64" s="207"/>
      <x:c r="G64" s="207"/>
      <x:c r="H64" s="207"/>
      <x:c r="I64" s="207"/>
      <x:c r="J64" s="207"/>
      <x:c r="K64" s="207"/>
      <x:c r="L64" s="207"/>
      <x:c r="M64" s="207"/>
    </x:row>
    <x:row r="65">
      <x:c r="A65" s="263" t="n">
        <x:f>'Threshold Data'!C43</x:f>
        <x:v>0.42</x:v>
      </x:c>
      <x:c r="B65" s="264" t="n">
        <x:f>'Threshold Data'!D43</x:f>
        <x:v>0.5950413223140496</x:v>
      </x:c>
      <x:c r="C65" s="264" t="n">
        <x:f>'Threshold Data'!E43</x:f>
        <x:v>0.1664739884393063</x:v>
      </x:c>
      <x:c r="D65" s="264" t="n">
        <x:f>'Threshold Data'!H43</x:f>
        <x:v>0.9781529294935452</x:v>
      </x:c>
      <x:c r="E65" s="207"/>
      <x:c r="F65" s="207"/>
      <x:c r="G65" s="207"/>
      <x:c r="H65" s="207"/>
      <x:c r="I65" s="207"/>
      <x:c r="J65" s="207"/>
      <x:c r="K65" s="207"/>
      <x:c r="L65" s="207"/>
      <x:c r="M65" s="207"/>
    </x:row>
    <x:row r="66">
      <x:c r="A66" s="263" t="n">
        <x:f>'Threshold Data'!C44</x:f>
        <x:v>0.43</x:v>
      </x:c>
      <x:c r="B66" s="264" t="n">
        <x:f>'Threshold Data'!D44</x:f>
        <x:v>0.6298342541436464</x:v>
      </x:c>
      <x:c r="C66" s="264" t="n">
        <x:f>'Threshold Data'!E44</x:f>
        <x:v>0.1317919075144508</x:v>
      </x:c>
      <x:c r="D66" s="264" t="n">
        <x:f>'Threshold Data'!H44</x:f>
        <x:v>0.9836598356955856</x:v>
      </x:c>
      <x:c r="E66" s="207"/>
      <x:c r="F66" s="207"/>
      <x:c r="G66" s="207"/>
      <x:c r="H66" s="207"/>
      <x:c r="I66" s="207"/>
      <x:c r="J66" s="207"/>
      <x:c r="K66" s="207"/>
      <x:c r="L66" s="207"/>
      <x:c r="M66" s="207"/>
    </x:row>
    <x:row r="67">
      <x:c r="A67" s="263" t="n">
        <x:f>'Threshold Data'!C45</x:f>
        <x:v>0.44</x:v>
      </x:c>
      <x:c r="B67" s="264" t="n">
        <x:f>'Threshold Data'!D45</x:f>
        <x:v>0.6229508196721312</x:v>
      </x:c>
      <x:c r="C67" s="264" t="n">
        <x:f>'Threshold Data'!E45</x:f>
        <x:v>0.0878612716763005</x:v>
      </x:c>
      <x:c r="D67" s="264" t="n">
        <x:f>'Threshold Data'!H45</x:f>
        <x:v>0.9889861875959196</x:v>
      </x:c>
      <x:c r="E67" s="207"/>
      <x:c r="F67" s="207"/>
      <x:c r="G67" s="207"/>
      <x:c r="H67" s="207"/>
      <x:c r="I67" s="207"/>
      <x:c r="J67" s="207"/>
      <x:c r="K67" s="207"/>
      <x:c r="L67" s="207"/>
      <x:c r="M67" s="207"/>
    </x:row>
    <x:row r="68">
      <x:c r="A68" s="263" t="n">
        <x:f>'Threshold Data'!C46</x:f>
        <x:v>0.45</x:v>
      </x:c>
      <x:c r="B68" s="264" t="n">
        <x:f>'Threshold Data'!D46</x:f>
        <x:v>0.5967741935483871</x:v>
      </x:c>
      <x:c r="C68" s="264" t="n">
        <x:f>'Threshold Data'!E46</x:f>
        <x:v>0.0427745664739884</x:v>
      </x:c>
      <x:c r="D68" s="264" t="n">
        <x:f>'Threshold Data'!H46</x:f>
        <x:v>0.9944028166471066</x:v>
      </x:c>
      <x:c r="E68" s="207"/>
      <x:c r="F68" s="207"/>
      <x:c r="G68" s="207"/>
      <x:c r="H68" s="207"/>
      <x:c r="I68" s="207"/>
      <x:c r="J68" s="207"/>
      <x:c r="K68" s="207"/>
      <x:c r="L68" s="207"/>
      <x:c r="M68" s="207"/>
    </x:row>
    <x:row r="69">
      <x:c r="A69" s="263" t="n">
        <x:f>'Threshold Data'!C47</x:f>
        <x:v>0.46</x:v>
      </x:c>
      <x:c r="B69" s="264" t="n">
        <x:f>'Threshold Data'!D47</x:f>
        <x:v>0.6470588235294118</x:v>
      </x:c>
      <x:c r="C69" s="264" t="n">
        <x:f>'Threshold Data'!E47</x:f>
        <x:v>0.0127167630057803</x:v>
      </x:c>
      <x:c r="D69" s="264" t="n">
        <x:f>'Threshold Data'!H47</x:f>
        <x:v>0.998465288435497</x:v>
      </x:c>
      <x:c r="E69" s="207"/>
      <x:c r="F69" s="207"/>
      <x:c r="G69" s="207"/>
      <x:c r="H69" s="207"/>
      <x:c r="I69" s="207"/>
      <x:c r="J69" s="207"/>
      <x:c r="K69" s="207"/>
      <x:c r="L69" s="207"/>
      <x:c r="M69" s="207"/>
    </x:row>
    <x:row r="70">
      <x:c r="A70" s="263" t="n">
        <x:f>'Threshold Data'!C48</x:f>
        <x:v>0.47</x:v>
      </x:c>
      <x:c r="B70" s="264" t="n">
        <x:f>'Threshold Data'!D48</x:f>
        <x:v>0</x:v>
      </x:c>
      <x:c r="C70" s="264" t="n">
        <x:f>'Threshold Data'!E48</x:f>
        <x:v>0</x:v>
      </x:c>
      <x:c r="D70" s="264" t="n">
        <x:f>'Threshold Data'!H48</x:f>
        <x:v>1</x:v>
      </x:c>
      <x:c r="E70" s="207"/>
      <x:c r="F70" s="207"/>
      <x:c r="G70" s="207"/>
      <x:c r="H70" s="207"/>
      <x:c r="I70" s="207"/>
      <x:c r="J70" s="207"/>
      <x:c r="K70" s="207"/>
      <x:c r="L70" s="207"/>
      <x:c r="M70" s="207"/>
    </x:row>
    <x:row r="71">
      <x:c r="A71" s="263" t="n">
        <x:f>'Threshold Data'!C49</x:f>
        <x:v>0.48</x:v>
      </x:c>
      <x:c r="B71" s="264" t="n">
        <x:f>'Threshold Data'!D49</x:f>
        <x:v>0</x:v>
      </x:c>
      <x:c r="C71" s="264" t="n">
        <x:f>'Threshold Data'!E49</x:f>
        <x:v>0</x:v>
      </x:c>
      <x:c r="D71" s="264" t="n">
        <x:f>'Threshold Data'!H49</x:f>
        <x:v>1</x:v>
      </x:c>
      <x:c r="E71" s="207"/>
      <x:c r="F71" s="207"/>
      <x:c r="G71" s="207"/>
      <x:c r="H71" s="207"/>
      <x:c r="I71" s="207"/>
      <x:c r="J71" s="207"/>
      <x:c r="K71" s="207"/>
      <x:c r="L71" s="207"/>
      <x:c r="M71" s="207"/>
    </x:row>
    <x:row r="72">
      <x:c r="A72" s="263" t="n">
        <x:f>'Threshold Data'!C50</x:f>
        <x:v>0.49</x:v>
      </x:c>
      <x:c r="B72" s="264" t="n">
        <x:f>'Threshold Data'!D50</x:f>
        <x:v>0</x:v>
      </x:c>
      <x:c r="C72" s="264" t="n">
        <x:f>'Threshold Data'!E50</x:f>
        <x:v>0</x:v>
      </x:c>
      <x:c r="D72" s="264" t="n">
        <x:f>'Threshold Data'!H50</x:f>
        <x:v>1</x:v>
      </x:c>
      <x:c r="E72" s="207"/>
      <x:c r="F72" s="207"/>
      <x:c r="G72" s="207"/>
      <x:c r="H72" s="207"/>
      <x:c r="I72" s="207"/>
      <x:c r="J72" s="207"/>
      <x:c r="K72" s="207"/>
      <x:c r="L72" s="207"/>
      <x:c r="M72" s="207"/>
    </x:row>
    <x:row r="73">
      <x:c r="A73" s="263" t="n">
        <x:f>'Threshold Data'!C51</x:f>
        <x:v>0.5</x:v>
      </x:c>
      <x:c r="B73" s="264" t="n">
        <x:f>'Threshold Data'!D51</x:f>
        <x:v>0</x:v>
      </x:c>
      <x:c r="C73" s="264" t="n">
        <x:f>'Threshold Data'!E51</x:f>
        <x:v>0</x:v>
      </x:c>
      <x:c r="D73" s="264" t="n">
        <x:f>'Threshold Data'!H51</x:f>
        <x:v>1</x:v>
      </x:c>
      <x:c r="E73" s="207"/>
      <x:c r="F73" s="207"/>
      <x:c r="G73" s="207"/>
      <x:c r="H73" s="207"/>
      <x:c r="I73" s="207"/>
      <x:c r="J73" s="207"/>
      <x:c r="K73" s="207"/>
      <x:c r="L73" s="207"/>
      <x:c r="M73" s="207"/>
    </x:row>
  </x:sheetData>
  <x:mergeCells>
    <x:mergeCell ref="A1:M2"/>
    <x:mergeCell ref="A3:M3"/>
    <x:mergeCell ref="A9:B9"/>
    <x:mergeCell ref="F23:M23"/>
    <x:mergeCell ref="F24:M24"/>
    <x:mergeCell ref="F25:M25"/>
    <x:mergeCell ref="F26:M26"/>
  </x:mergeCells>
  <x:conditionalFormatting sqref="A24:D73">
    <x:cfRule type="expression" dxfId="0" priority="1">
      <x:formula>$A24=$B$6</x:formula>
    </x:cfRule>
  </x:conditionalFormatting>
  <x:dataValidations count="2">
    <x:dataValidation type="decimal" operator="between" sqref="B6">
      <x:formula1>0.01</x:formula1>
      <x:formula2>0.99</x:formula2>
    </x:dataValidation>
    <x:dataValidation type="decimal" operator="between" sqref="B7">
      <x:formula1>0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d89061292d6e447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8" hidden="0" customWidth="1"/>
    <x:col min="4" max="4" width="22" hidden="0" customWidth="1"/>
    <x:col min="5" max="5" width="48" hidden="0" customWidth="1"/>
  </x:cols>
  <x:sheetData>
    <x:row r="1" ht="34" customHeight="1">
      <x:c r="A1" s="224" t="str">
        <x:v>Data Dictionary &amp; Methodological Role</x:v>
      </x:c>
      <x:c r="B1" s="224"/>
      <x:c r="C1" s="224"/>
      <x:c r="D1" s="224"/>
      <x:c r="E1" s="224"/>
    </x:row>
    <x:row r="2" ht="34" customHeight="1">
      <x:c r="A2" s="224"/>
      <x:c r="B2" s="224"/>
      <x:c r="C2" s="224"/>
      <x:c r="D2" s="224"/>
      <x:c r="E2" s="224"/>
    </x:row>
    <x:row r="3">
      <x:c r="A3" s="207"/>
      <x:c r="B3" s="207"/>
      <x:c r="C3" s="207"/>
      <x:c r="D3" s="207"/>
      <x:c r="E3" s="207"/>
    </x:row>
    <x:row r="4">
      <x:c r="A4" s="116" t="str">
        <x:v>Field</x:v>
      </x:c>
      <x:c r="B4" s="117" t="str">
        <x:v>Type</x:v>
      </x:c>
      <x:c r="C4" s="117" t="str">
        <x:v>Business Meaning</x:v>
      </x:c>
      <x:c r="D4" s="117" t="str">
        <x:v>Model Role</x:v>
      </x:c>
      <x:c r="E4" s="118" t="str">
        <x:v>Important Note</x:v>
      </x:c>
    </x:row>
    <x:row r="5">
      <x:c r="A5" s="191" t="str">
        <x:v>loan_id</x:v>
      </x:c>
      <x:c r="B5" s="192" t="str">
        <x:v>Text</x:v>
      </x:c>
      <x:c r="C5" s="192" t="str">
        <x:v>Unique loan identifier</x:v>
      </x:c>
      <x:c r="D5" s="192" t="str">
        <x:v>Identifier</x:v>
      </x:c>
      <x:c r="E5" s="193" t="str">
        <x:v>Primary key; excluded from model</x:v>
      </x:c>
    </x:row>
    <x:row r="6">
      <x:c r="A6" s="194" t="str">
        <x:v>origination_date</x:v>
      </x:c>
      <x:c r="B6" s="195" t="str">
        <x:v>Date</x:v>
      </x:c>
      <x:c r="C6" s="195" t="str">
        <x:v>Loan origination month</x:v>
      </x:c>
      <x:c r="D6" s="195" t="str">
        <x:v>Split key</x:v>
      </x:c>
      <x:c r="E6" s="196" t="str">
        <x:v>Used for time-based train/validation/test split</x:v>
      </x:c>
    </x:row>
    <x:row r="7">
      <x:c r="A7" s="194" t="str">
        <x:v>maturity_date</x:v>
      </x:c>
      <x:c r="B7" s="195" t="str">
        <x:v>Date</x:v>
      </x:c>
      <x:c r="C7" s="195" t="str">
        <x:v>Reported maturity date</x:v>
      </x:c>
      <x:c r="D7" s="195" t="str">
        <x:v>Excluded</x:v>
      </x:c>
      <x:c r="E7" s="196" t="str">
        <x:v>Capped at 2024-12-31 for many loans</x:v>
      </x:c>
    </x:row>
    <x:row r="8">
      <x:c r="A8" s="194" t="str">
        <x:v>maturity_months</x:v>
      </x:c>
      <x:c r="B8" s="195" t="str">
        <x:v>Integer</x:v>
      </x:c>
      <x:c r="C8" s="195" t="str">
        <x:v>Contractual tenor in months</x:v>
      </x:c>
      <x:c r="D8" s="195" t="str">
        <x:v>Feature</x:v>
      </x:c>
      <x:c r="E8" s="196" t="str">
        <x:v>Preferred to capped maturity_date</x:v>
      </x:c>
    </x:row>
    <x:row r="9">
      <x:c r="A9" s="194" t="str">
        <x:v>sector</x:v>
      </x:c>
      <x:c r="B9" s="195" t="str">
        <x:v>Category</x:v>
      </x:c>
      <x:c r="C9" s="195" t="str">
        <x:v>Borrower industry sector</x:v>
      </x:c>
      <x:c r="D9" s="195" t="str">
        <x:v>Feature / segment</x:v>
      </x:c>
      <x:c r="E9" s="196" t="str">
        <x:v>10 sectors</x:v>
      </x:c>
    </x:row>
    <x:row r="10">
      <x:c r="A10" s="194" t="str">
        <x:v>loan_type</x:v>
      </x:c>
      <x:c r="B10" s="195" t="str">
        <x:v>Category</x:v>
      </x:c>
      <x:c r="C10" s="195" t="str">
        <x:v>Loan product type</x:v>
      </x:c>
      <x:c r="D10" s="195" t="str">
        <x:v>Feature</x:v>
      </x:c>
      <x:c r="E10" s="196" t="str">
        <x:v>Application-time field</x:v>
      </x:c>
    </x:row>
    <x:row r="11">
      <x:c r="A11" s="194" t="str">
        <x:v>collateral</x:v>
      </x:c>
      <x:c r="B11" s="195" t="str">
        <x:v>Category</x:v>
      </x:c>
      <x:c r="C11" s="195" t="str">
        <x:v>Collateral category</x:v>
      </x:c>
      <x:c r="D11" s="195" t="str">
        <x:v>Feature</x:v>
      </x:c>
      <x:c r="E11" s="196" t="str">
        <x:v>Application-time field</x:v>
      </x:c>
    </x:row>
    <x:row r="12">
      <x:c r="A12" s="194" t="str">
        <x:v>initial_rating</x:v>
      </x:c>
      <x:c r="B12" s="195" t="str">
        <x:v>Category</x:v>
      </x:c>
      <x:c r="C12" s="195" t="str">
        <x:v>Rating at origination</x:v>
      </x:c>
      <x:c r="D12" s="195" t="str">
        <x:v>Feature</x:v>
      </x:c>
      <x:c r="E12" s="196" t="str">
        <x:v>Strongest permutation importance</x:v>
      </x:c>
    </x:row>
    <x:row r="13">
      <x:c r="A13" s="194" t="str">
        <x:v>credit_score</x:v>
      </x:c>
      <x:c r="B13" s="195" t="str">
        <x:v>Integer</x:v>
      </x:c>
      <x:c r="C13" s="195" t="str">
        <x:v>Credit score at origination</x:v>
      </x:c>
      <x:c r="D13" s="195" t="str">
        <x:v>Feature</x:v>
      </x:c>
      <x:c r="E13" s="196" t="str">
        <x:v>Observed range 518-850</x:v>
      </x:c>
    </x:row>
    <x:row r="14">
      <x:c r="A14" s="194" t="str">
        <x:v>ead</x:v>
      </x:c>
      <x:c r="B14" s="195" t="str">
        <x:v>Currency</x:v>
      </x:c>
      <x:c r="C14" s="195" t="str">
        <x:v>Exposure at default</x:v>
      </x:c>
      <x:c r="D14" s="195" t="str">
        <x:v>Feature via log_ead</x:v>
      </x:c>
      <x:c r="E14" s="196" t="str">
        <x:v>Highly skewed; not deleted as a business-valid value</x:v>
      </x:c>
    </x:row>
    <x:row r="15">
      <x:c r="A15" s="194" t="str">
        <x:v>coupon_rate</x:v>
      </x:c>
      <x:c r="B15" s="195" t="str">
        <x:v>Percent points</x:v>
      </x:c>
      <x:c r="C15" s="195" t="str">
        <x:v>Contract coupon rate</x:v>
      </x:c>
      <x:c r="D15" s="195" t="str">
        <x:v>Feature</x:v>
      </x:c>
      <x:c r="E15" s="196" t="str">
        <x:v>Stored as 1.0-7.531, not decimal fraction</x:v>
      </x:c>
    </x:row>
    <x:row r="16">
      <x:c r="A16" s="194" t="str">
        <x:v>leverage</x:v>
      </x:c>
      <x:c r="B16" s="195" t="str">
        <x:v>Decimal</x:v>
      </x:c>
      <x:c r="C16" s="195" t="str">
        <x:v>Borrower leverage</x:v>
      </x:c>
      <x:c r="D16" s="195" t="str">
        <x:v>Feature</x:v>
      </x:c>
      <x:c r="E16" s="196" t="str">
        <x:v>Used directly and in engineered ratios</x:v>
      </x:c>
    </x:row>
    <x:row r="17">
      <x:c r="A17" s="194" t="str">
        <x:v>interest_coverage</x:v>
      </x:c>
      <x:c r="B17" s="195" t="str">
        <x:v>Decimal</x:v>
      </x:c>
      <x:c r="C17" s="195" t="str">
        <x:v>Interest coverage ratio</x:v>
      </x:c>
      <x:c r="D17" s="195" t="str">
        <x:v>Feature</x:v>
      </x:c>
      <x:c r="E17" s="196" t="str">
        <x:v>Lower bound clipped only in engineered division</x:v>
      </x:c>
    </x:row>
    <x:row r="18">
      <x:c r="A18" s="194" t="str">
        <x:v>debt_to_equity</x:v>
      </x:c>
      <x:c r="B18" s="195" t="str">
        <x:v>Decimal</x:v>
      </x:c>
      <x:c r="C18" s="195" t="str">
        <x:v>Debt-to-equity ratio</x:v>
      </x:c>
      <x:c r="D18" s="195" t="str">
        <x:v>Feature</x:v>
      </x:c>
      <x:c r="E18" s="196" t="str">
        <x:v>Application-time field</x:v>
      </x:c>
    </x:row>
    <x:row r="19">
      <x:c r="A19" s="194" t="str">
        <x:v>pd_annual</x:v>
      </x:c>
      <x:c r="B19" s="195" t="str">
        <x:v>Probability</x:v>
      </x:c>
      <x:c r="C19" s="195" t="str">
        <x:v>Dataset annual probability of default</x:v>
      </x:c>
      <x:c r="D19" s="195" t="str">
        <x:v>Benchmark only</x:v>
      </x:c>
      <x:c r="E19" s="196" t="str">
        <x:v>Excluded to avoid circularity; horizon differs from target</x:v>
      </x:c>
    </x:row>
    <x:row r="20">
      <x:c r="A20" s="194" t="str">
        <x:v>lgd</x:v>
      </x:c>
      <x:c r="B20" s="195" t="str">
        <x:v>Probability</x:v>
      </x:c>
      <x:c r="C20" s="195" t="str">
        <x:v>Dataset loss-given-default rate</x:v>
      </x:c>
      <x:c r="D20" s="195" t="str">
        <x:v>Benchmark / loss proxy</x:v>
      </x:c>
      <x:c r="E20" s="196" t="str">
        <x:v>Excluded from classifier</x:v>
      </x:c>
    </x:row>
    <x:row r="21">
      <x:c r="A21" s="194" t="str">
        <x:v>el</x:v>
      </x:c>
      <x:c r="B21" s="195" t="str">
        <x:v>Currency</x:v>
      </x:c>
      <x:c r="C21" s="195" t="str">
        <x:v>Dataset expected loss</x:v>
      </x:c>
      <x:c r="D21" s="195" t="str">
        <x:v>Benchmark only</x:v>
      </x:c>
      <x:c r="E21" s="196" t="str">
        <x:v>Approximately EAD × annual PD × LGD</x:v>
      </x:c>
    </x:row>
    <x:row r="22">
      <x:c r="A22" s="194" t="str">
        <x:v>unexpected_loss</x:v>
      </x:c>
      <x:c r="B22" s="195" t="str">
        <x:v>Currency</x:v>
      </x:c>
      <x:c r="C22" s="195" t="str">
        <x:v>Dataset unexpected loss</x:v>
      </x:c>
      <x:c r="D22" s="195" t="str">
        <x:v>Benchmark only</x:v>
      </x:c>
      <x:c r="E22" s="196" t="str">
        <x:v>Excluded from classifier</x:v>
      </x:c>
    </x:row>
    <x:row r="23">
      <x:c r="A23" s="194" t="str">
        <x:v>rwa</x:v>
      </x:c>
      <x:c r="B23" s="195" t="str">
        <x:v>Currency</x:v>
      </x:c>
      <x:c r="C23" s="195" t="str">
        <x:v>Risk-weighted assets</x:v>
      </x:c>
      <x:c r="D23" s="195" t="str">
        <x:v>Benchmark only</x:v>
      </x:c>
      <x:c r="E23" s="196" t="str">
        <x:v>Excluded from classifier</x:v>
      </x:c>
    </x:row>
    <x:row r="24">
      <x:c r="A24" s="194" t="str">
        <x:v>defaulted</x:v>
      </x:c>
      <x:c r="B24" s="195" t="str">
        <x:v>Binary</x:v>
      </x:c>
      <x:c r="C24" s="195" t="str">
        <x:v>Eventual default during simulated term</x:v>
      </x:c>
      <x:c r="D24" s="195" t="str">
        <x:v>Target</x:v>
      </x:c>
      <x:c r="E24" s="196" t="str">
        <x:v>1=default; 0=no default over simulated term</x:v>
      </x:c>
    </x:row>
    <x:row r="25">
      <x:c r="A25" s="194" t="str">
        <x:v>default_date</x:v>
      </x:c>
      <x:c r="B25" s="195" t="str">
        <x:v>Date</x:v>
      </x:c>
      <x:c r="C25" s="195" t="str">
        <x:v>Date of default</x:v>
      </x:c>
      <x:c r="D25" s="195" t="str">
        <x:v>Leakage / excluded</x:v>
      </x:c>
      <x:c r="E25" s="196" t="str">
        <x:v>Known only after outcome</x:v>
      </x:c>
    </x:row>
    <x:row r="26">
      <x:c r="A26" s="194" t="str">
        <x:v>survival_months</x:v>
      </x:c>
      <x:c r="B26" s="195" t="str">
        <x:v>Integer</x:v>
      </x:c>
      <x:c r="C26" s="195" t="str">
        <x:v>Months survived before default/censoring</x:v>
      </x:c>
      <x:c r="D26" s="195" t="str">
        <x:v>Leakage / excluded</x:v>
      </x:c>
      <x:c r="E26" s="196" t="str">
        <x:v>Post-outcome field</x:v>
      </x:c>
    </x:row>
    <x:row r="27">
      <x:c r="A27" s="194" t="str">
        <x:v>recovery_rate</x:v>
      </x:c>
      <x:c r="B27" s="195" t="str">
        <x:v>Probability</x:v>
      </x:c>
      <x:c r="C27" s="195" t="str">
        <x:v>Observed recovery for defaulted loans</x:v>
      </x:c>
      <x:c r="D27" s="195" t="str">
        <x:v>Leakage / excluded</x:v>
      </x:c>
      <x:c r="E27" s="196" t="str">
        <x:v>Missing by design for non-defaults</x:v>
      </x:c>
    </x:row>
    <x:row r="28">
      <x:c r="A28" s="194" t="str">
        <x:v>loss_given_default</x:v>
      </x:c>
      <x:c r="B28" s="195" t="str">
        <x:v>Currency</x:v>
      </x:c>
      <x:c r="C28" s="195" t="str">
        <x:v>Observed default loss amount</x:v>
      </x:c>
      <x:c r="D28" s="195" t="str">
        <x:v>Leakage / excluded</x:v>
      </x:c>
      <x:c r="E28" s="196" t="str">
        <x:v>Despite name, field is a dollar amount</x:v>
      </x:c>
    </x:row>
    <x:row r="29">
      <x:c r="A29" s="194" t="str">
        <x:v>origination_gdp_growth</x:v>
      </x:c>
      <x:c r="B29" s="195" t="str">
        <x:v>Percent points</x:v>
      </x:c>
      <x:c r="C29" s="195" t="str">
        <x:v>GDP growth at origination</x:v>
      </x:c>
      <x:c r="D29" s="195" t="str">
        <x:v>Feature</x:v>
      </x:c>
      <x:c r="E29" s="196" t="str">
        <x:v>Joined from monthly portfolio file</x:v>
      </x:c>
    </x:row>
    <x:row r="30">
      <x:c r="A30" s="194" t="str">
        <x:v>origination_unemployment</x:v>
      </x:c>
      <x:c r="B30" s="195" t="str">
        <x:v>Percent</x:v>
      </x:c>
      <x:c r="C30" s="195" t="str">
        <x:v>Unemployment at origination</x:v>
      </x:c>
      <x:c r="D30" s="195" t="str">
        <x:v>Feature</x:v>
      </x:c>
      <x:c r="E30" s="196" t="str">
        <x:v>Joined from monthly portfolio file</x:v>
      </x:c>
    </x:row>
    <x:row r="31">
      <x:c r="A31" s="194" t="str">
        <x:v>origination_policy_rate</x:v>
      </x:c>
      <x:c r="B31" s="195" t="str">
        <x:v>Percent</x:v>
      </x:c>
      <x:c r="C31" s="195" t="str">
        <x:v>Policy rate at origination</x:v>
      </x:c>
      <x:c r="D31" s="195" t="str">
        <x:v>Feature</x:v>
      </x:c>
      <x:c r="E31" s="196" t="str">
        <x:v>Joined from monthly portfolio file</x:v>
      </x:c>
    </x:row>
    <x:row r="32">
      <x:c r="A32" s="194" t="str">
        <x:v>origination_credit_spread_bps</x:v>
      </x:c>
      <x:c r="B32" s="195" t="str">
        <x:v>Basis points</x:v>
      </x:c>
      <x:c r="C32" s="195" t="str">
        <x:v>Credit spread at origination</x:v>
      </x:c>
      <x:c r="D32" s="195" t="str">
        <x:v>Feature</x:v>
      </x:c>
      <x:c r="E32" s="196" t="str">
        <x:v>Joined from monthly portfolio file</x:v>
      </x:c>
    </x:row>
    <x:row r="33">
      <x:c r="A33" s="194" t="str">
        <x:v>origination_year</x:v>
      </x:c>
      <x:c r="B33" s="195" t="str">
        <x:v>Integer</x:v>
      </x:c>
      <x:c r="C33" s="195" t="str">
        <x:v>Origination year</x:v>
      </x:c>
      <x:c r="D33" s="195" t="str">
        <x:v>Reporting</x:v>
      </x:c>
      <x:c r="E33" s="196" t="str">
        <x:v>Not directly modeled</x:v>
      </x:c>
    </x:row>
    <x:row r="34">
      <x:c r="A34" s="194" t="str">
        <x:v>origination_month</x:v>
      </x:c>
      <x:c r="B34" s="195" t="str">
        <x:v>Integer</x:v>
      </x:c>
      <x:c r="C34" s="195" t="str">
        <x:v>Origination month 1-12</x:v>
      </x:c>
      <x:c r="D34" s="195" t="str">
        <x:v>Feature</x:v>
      </x:c>
      <x:c r="E34" s="196" t="str">
        <x:v>Categorical seasonality feature</x:v>
      </x:c>
    </x:row>
    <x:row r="35">
      <x:c r="A35" s="194" t="str">
        <x:v>origination_quarter</x:v>
      </x:c>
      <x:c r="B35" s="195" t="str">
        <x:v>Text</x:v>
      </x:c>
      <x:c r="C35" s="195" t="str">
        <x:v>Origination quarter</x:v>
      </x:c>
      <x:c r="D35" s="195" t="str">
        <x:v>Reporting</x:v>
      </x:c>
      <x:c r="E35" s="196" t="str">
        <x:v>Cohort/segment field</x:v>
      </x:c>
    </x:row>
    <x:row r="36">
      <x:c r="A36" s="194" t="str">
        <x:v>default_loss_amount</x:v>
      </x:c>
      <x:c r="B36" s="195" t="str">
        <x:v>Currency</x:v>
      </x:c>
      <x:c r="C36" s="195" t="str">
        <x:v>Observed default loss or zero</x:v>
      </x:c>
      <x:c r="D36" s="195" t="str">
        <x:v>Outcome reporting</x:v>
      </x:c>
      <x:c r="E36" s="196" t="str">
        <x:v>Never used as a feature</x:v>
      </x:c>
    </x:row>
    <x:row r="37">
      <x:c r="A37" s="194" t="str">
        <x:v>existing_expected_loss_rate</x:v>
      </x:c>
      <x:c r="B37" s="195" t="str">
        <x:v>Probability</x:v>
      </x:c>
      <x:c r="C37" s="195" t="str">
        <x:v>Dataset EL divided by EAD</x:v>
      </x:c>
      <x:c r="D37" s="195" t="str">
        <x:v>Benchmark</x:v>
      </x:c>
      <x:c r="E37" s="196" t="str">
        <x:v>Annual risk-system output</x:v>
      </x:c>
    </x:row>
    <x:row r="38">
      <x:c r="A38" s="194" t="str">
        <x:v>credit_score_band</x:v>
      </x:c>
      <x:c r="B38" s="195" t="str">
        <x:v>Category</x:v>
      </x:c>
      <x:c r="C38" s="195" t="str">
        <x:v>Readable credit-score band</x:v>
      </x:c>
      <x:c r="D38" s="195" t="str">
        <x:v>Reporting</x:v>
      </x:c>
      <x:c r="E38" s="196" t="str">
        <x:v>Dashboard segmentation</x:v>
      </x:c>
    </x:row>
    <x:row r="39">
      <x:c r="A39" s="194" t="str">
        <x:v>ead_band</x:v>
      </x:c>
      <x:c r="B39" s="195" t="str">
        <x:v>Category</x:v>
      </x:c>
      <x:c r="C39" s="195" t="str">
        <x:v>Portfolio exposure quartile</x:v>
      </x:c>
      <x:c r="D39" s="195" t="str">
        <x:v>Reporting</x:v>
      </x:c>
      <x:c r="E39" s="196" t="str">
        <x:v>Dashboard segmentation</x:v>
      </x:c>
    </x:row>
    <x:row r="40">
      <x:c r="A40" s="194" t="str">
        <x:v>reported_maturity_is_capped</x:v>
      </x:c>
      <x:c r="B40" s="195" t="str">
        <x:v>Binary</x:v>
      </x:c>
      <x:c r="C40" s="195" t="str">
        <x:v>Flags 2024-12-31 maturity cap</x:v>
      </x:c>
      <x:c r="D40" s="195" t="str">
        <x:v>Data quality</x:v>
      </x:c>
      <x:c r="E40" s="196" t="str">
        <x:v>Do not infer true maturity from capped date</x:v>
      </x:c>
    </x:row>
    <x:row r="41">
      <x:c r="A41" s="194" t="str">
        <x:v>data_split</x:v>
      </x:c>
      <x:c r="B41" s="195" t="str">
        <x:v>Category</x:v>
      </x:c>
      <x:c r="C41" s="195" t="str">
        <x:v>Train, validation, or test period</x:v>
      </x:c>
      <x:c r="D41" s="195" t="str">
        <x:v>Evaluation</x:v>
      </x:c>
      <x:c r="E41" s="196" t="str">
        <x:v>Test is 2022-2023</x:v>
      </x:c>
    </x:row>
    <x:row r="42">
      <x:c r="A42" s="194" t="str">
        <x:v>model_name</x:v>
      </x:c>
      <x:c r="B42" s="195" t="str">
        <x:v>Text</x:v>
      </x:c>
      <x:c r="C42" s="195" t="str">
        <x:v>Selected classifier</x:v>
      </x:c>
      <x:c r="D42" s="195" t="str">
        <x:v>Output</x:v>
      </x:c>
      <x:c r="E42" s="196" t="str">
        <x:v>Current locally validated model is calibrated RF</x:v>
      </x:c>
    </x:row>
    <x:row r="43">
      <x:c r="A43" s="194" t="str">
        <x:v>default_probability</x:v>
      </x:c>
      <x:c r="B43" s="195" t="str">
        <x:v>Probability</x:v>
      </x:c>
      <x:c r="C43" s="195" t="str">
        <x:v>Model term-default risk score</x:v>
      </x:c>
      <x:c r="D43" s="195" t="str">
        <x:v>Output</x:v>
      </x:c>
      <x:c r="E43" s="196" t="str">
        <x:v>Not directly comparable to annual PD</x:v>
      </x:c>
    </x:row>
    <x:row r="44">
      <x:c r="A44" s="194" t="str">
        <x:v>operating_threshold</x:v>
      </x:c>
      <x:c r="B44" s="195" t="str">
        <x:v>Probability</x:v>
      </x:c>
      <x:c r="C44" s="195" t="str">
        <x:v>Validation-selected review cutoff</x:v>
      </x:c>
      <x:c r="D44" s="195" t="str">
        <x:v>Decision parameter</x:v>
      </x:c>
      <x:c r="E44" s="196" t="str">
        <x:v>0.17 in locally validated run</x:v>
      </x:c>
    </x:row>
    <x:row r="45">
      <x:c r="A45" s="194" t="str">
        <x:v>predicted_default</x:v>
      </x:c>
      <x:c r="B45" s="195" t="str">
        <x:v>Binary</x:v>
      </x:c>
      <x:c r="C45" s="195" t="str">
        <x:v>Score above operating threshold</x:v>
      </x:c>
      <x:c r="D45" s="195" t="str">
        <x:v>Output</x:v>
      </x:c>
      <x:c r="E45" s="196" t="str">
        <x:v>Used only to route manual review</x:v>
      </x:c>
    </x:row>
    <x:row r="46">
      <x:c r="A46" s="194" t="str">
        <x:v>risk_band</x:v>
      </x:c>
      <x:c r="B46" s="195" t="str">
        <x:v>Category</x:v>
      </x:c>
      <x:c r="C46" s="195" t="str">
        <x:v>Score-based risk grouping</x:v>
      </x:c>
      <x:c r="D46" s="195" t="str">
        <x:v>Output</x:v>
      </x:c>
      <x:c r="E46" s="196" t="str">
        <x:v>Low/Moderate/High/Very High</x:v>
      </x:c>
    </x:row>
    <x:row r="47">
      <x:c r="A47" s="194" t="str">
        <x:v>risk_decile</x:v>
      </x:c>
      <x:c r="B47" s="195" t="str">
        <x:v>Integer</x:v>
      </x:c>
      <x:c r="C47" s="195" t="str">
        <x:v>Portfolio rank from highest to lowest score</x:v>
      </x:c>
      <x:c r="D47" s="195" t="str">
        <x:v>Output</x:v>
      </x:c>
      <x:c r="E47" s="196" t="str">
        <x:v>1 is highest risk</x:v>
      </x:c>
    </x:row>
    <x:row r="48">
      <x:c r="A48" s="194" t="str">
        <x:v>underwriting_action</x:v>
      </x:c>
      <x:c r="B48" s="195" t="str">
        <x:v>Category</x:v>
      </x:c>
      <x:c r="C48" s="195" t="str">
        <x:v>Approve or Manual Review</x:v>
      </x:c>
      <x:c r="D48" s="195" t="str">
        <x:v>Decision aid</x:v>
      </x:c>
      <x:c r="E48" s="196" t="str">
        <x:v>No automatic reject action is generated</x:v>
      </x:c>
    </x:row>
    <x:row r="49">
      <x:c r="A49" s="197" t="str">
        <x:v>term_risk_loss_proxy</x:v>
      </x:c>
      <x:c r="B49" s="198" t="str">
        <x:v>Currency</x:v>
      </x:c>
      <x:c r="C49" s="198" t="str">
        <x:v>Score × EAD × dataset LGD</x:v>
      </x:c>
      <x:c r="D49" s="198" t="str">
        <x:v>Ranking output</x:v>
      </x:c>
      <x:c r="E49" s="199" t="str">
        <x:v>Not accounting expected loss; horizon is contractual term</x:v>
      </x:c>
    </x:row>
  </x:sheetData>
  <x:mergeCells>
    <x:mergeCell ref="A1:E2"/>
  </x:mergeCells>
  <x:pageMargins left="0.7" right="0.7" top="0.75" bottom="0.75" header="0.3" footer="0.3"/>
  <x:tableParts count="1">
    <x:tablePart xmlns:r="http://schemas.openxmlformats.org/officeDocument/2006/relationships" r:id="R18a124b0da794e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42" hidden="0" customWidth="1"/>
  </x:cols>
  <x:sheetData>
    <x:row r="1" ht="34" customHeight="1">
      <x:c r="A1" s="224" t="str">
        <x:v>Workbook Checks</x:v>
      </x:c>
      <x:c r="B1" s="224"/>
      <x:c r="C1" s="224"/>
      <x:c r="D1" s="224"/>
      <x:c r="E1" s="224"/>
      <x:c r="F1" s="224"/>
    </x:row>
    <x:row r="2" ht="34" customHeight="1">
      <x:c r="A2" s="224"/>
      <x:c r="B2" s="224"/>
      <x:c r="C2" s="224"/>
      <x:c r="D2" s="224"/>
      <x:c r="E2" s="224"/>
      <x:c r="F2" s="224"/>
    </x:row>
    <x:row r="3">
      <x:c r="A3" s="220" t="str">
        <x:v>Overall Status</x:v>
      </x:c>
      <x:c r="B3" s="265" t="str">
        <x:f>IF(COUNTIF($E$6:$E$12,"CHECK")=0,"OK","CHECK")</x:f>
        <x:v>OK</x:v>
      </x:c>
      <x:c r="C3" s="207"/>
      <x:c r="D3" s="207"/>
      <x:c r="E3" s="207"/>
      <x:c r="F3" s="207"/>
    </x:row>
    <x:row r="4">
      <x:c r="A4" s="207"/>
      <x:c r="B4" s="207"/>
      <x:c r="C4" s="207"/>
      <x:c r="D4" s="207"/>
      <x:c r="E4" s="207"/>
      <x:c r="F4" s="207"/>
    </x:row>
    <x:row r="5">
      <x:c r="A5" s="116" t="str">
        <x:v>Check</x:v>
      </x:c>
      <x:c r="B5" s="117" t="str">
        <x:v>Actual</x:v>
      </x:c>
      <x:c r="C5" s="117" t="str">
        <x:v>Expected</x:v>
      </x:c>
      <x:c r="D5" s="117" t="str">
        <x:v>Difference</x:v>
      </x:c>
      <x:c r="E5" s="117" t="str">
        <x:v>Status</x:v>
      </x:c>
      <x:c r="F5" s="118" t="str">
        <x:v>Notes</x:v>
      </x:c>
    </x:row>
    <x:row r="6">
      <x:c r="A6" s="266" t="str">
        <x:v>Clean/scored loan row count</x:v>
      </x:c>
      <x:c r="B6" s="267" t="n">
        <x:f>'Validation Source'!$A$2</x:f>
        <x:v>50000</x:v>
      </x:c>
      <x:c r="C6" s="267" t="n">
        <x:v>50000</x:v>
      </x:c>
      <x:c r="D6" s="267" t="n">
        <x:f>B6-C6</x:f>
        <x:v>0</x:v>
      </x:c>
      <x:c r="E6" s="267" t="str">
        <x:f>IF(D6=0,"OK","CHECK")</x:f>
        <x:v>OK</x:v>
      </x:c>
      <x:c r="F6" s="268" t="str">
        <x:v>Must equal supplied portfolio size</x:v>
      </x:c>
    </x:row>
    <x:row r="7">
      <x:c r="A7" s="269" t="str">
        <x:v>Missing model probabilities</x:v>
      </x:c>
      <x:c r="B7" s="270" t="n">
        <x:f>'Validation Source'!$D$2</x:f>
        <x:v>0</x:v>
      </x:c>
      <x:c r="C7" s="270" t="n">
        <x:v>0</x:v>
      </x:c>
      <x:c r="D7" s="270" t="n">
        <x:f>B7-C7</x:f>
        <x:v>0</x:v>
      </x:c>
      <x:c r="E7" s="270" t="str">
        <x:f>IF(D7=0,"OK","CHECK")</x:f>
        <x:v>OK</x:v>
      </x:c>
      <x:c r="F7" s="271" t="str">
        <x:v>Every loan needs a score</x:v>
      </x:c>
    </x:row>
    <x:row r="8">
      <x:c r="A8" s="269" t="str">
        <x:v>Probabilities outside [0,1]</x:v>
      </x:c>
      <x:c r="B8" s="270" t="n">
        <x:f>'Validation Source'!$E$2</x:f>
        <x:v>0</x:v>
      </x:c>
      <x:c r="C8" s="270" t="n">
        <x:v>0</x:v>
      </x:c>
      <x:c r="D8" s="270" t="n">
        <x:f>B8-C8</x:f>
        <x:v>0</x:v>
      </x:c>
      <x:c r="E8" s="270" t="str">
        <x:f>IF(D8=0,"OK","CHECK")</x:f>
        <x:v>OK</x:v>
      </x:c>
      <x:c r="F8" s="271" t="str">
        <x:v>Probability validation</x:v>
      </x:c>
    </x:row>
    <x:row r="9">
      <x:c r="A9" s="269" t="str">
        <x:v>Threshold exists in test table</x:v>
      </x:c>
      <x:c r="B9" s="270" t="n">
        <x:f>COUNTIF('Threshold Data'!$C$2:$C$100,'Threshold Simulator'!$B$6)</x:f>
        <x:v>1</x:v>
      </x:c>
      <x:c r="C9" s="270" t="n">
        <x:v>1</x:v>
      </x:c>
      <x:c r="D9" s="270" t="n">
        <x:f>B9-C9</x:f>
        <x:v>0</x:v>
      </x:c>
      <x:c r="E9" s="270" t="str">
        <x:f>IF(D9=0,"OK","CHECK")</x:f>
        <x:v>OK</x:v>
      </x:c>
      <x:c r="F9" s="271" t="str">
        <x:v>Selected threshold must map to one row</x:v>
      </x:c>
    </x:row>
    <x:row r="10">
      <x:c r="A10" s="269" t="str">
        <x:v>Test rows</x:v>
      </x:c>
      <x:c r="B10" s="270" t="n">
        <x:f>'Validation Source'!$C$2</x:f>
        <x:v>11077</x:v>
      </x:c>
      <x:c r="C10" s="270" t="n">
        <x:v>11077</x:v>
      </x:c>
      <x:c r="D10" s="270" t="n">
        <x:f>B10-C10</x:f>
        <x:v>0</x:v>
      </x:c>
      <x:c r="E10" s="270" t="str">
        <x:f>IF(D10=0,"OK","CHECK")</x:f>
        <x:v>OK</x:v>
      </x:c>
      <x:c r="F10" s="271" t="str">
        <x:v>Out-of-time holdout: 2022-2023</x:v>
      </x:c>
    </x:row>
    <x:row r="11">
      <x:c r="A11" s="269" t="str">
        <x:v>Default target values outside 0/1</x:v>
      </x:c>
      <x:c r="B11" s="270" t="n">
        <x:f>'Validation Source'!$F$2</x:f>
        <x:v>0</x:v>
      </x:c>
      <x:c r="C11" s="270" t="n">
        <x:v>0</x:v>
      </x:c>
      <x:c r="D11" s="270" t="n">
        <x:f>B11-C11</x:f>
        <x:v>0</x:v>
      </x:c>
      <x:c r="E11" s="270" t="str">
        <x:f>IF(D11=0,"OK","CHECK")</x:f>
        <x:v>OK</x:v>
      </x:c>
      <x:c r="F11" s="271" t="str">
        <x:v>Binary target validation</x:v>
      </x:c>
    </x:row>
    <x:row r="12">
      <x:c r="A12" s="272" t="str">
        <x:v>High-risk export rows</x:v>
      </x:c>
      <x:c r="B12" s="273" t="n">
        <x:f>COUNTA('High-Risk Loans'!$A$2:$A$501)</x:f>
        <x:v>500</x:v>
      </x:c>
      <x:c r="C12" s="273" t="n">
        <x:v>500</x:v>
      </x:c>
      <x:c r="D12" s="273" t="n">
        <x:f>B12-C12</x:f>
        <x:v>0</x:v>
      </x:c>
      <x:c r="E12" s="273" t="str">
        <x:f>IF(D12=0,"OK","CHECK")</x:f>
        <x:v>OK</x:v>
      </x:c>
      <x:c r="F12" s="274" t="str">
        <x:v>Review shortlist size</x:v>
      </x:c>
    </x:row>
  </x:sheetData>
  <x:mergeCells>
    <x:mergeCell ref="A1:F2"/>
  </x:mergeCells>
  <x:conditionalFormatting sqref="E6:E12">
    <x:cfRule type="expression" dxfId="1" priority="1">
      <x:formula>$E6="OK"</x:formula>
    </x:cfRule>
    <x:cfRule type="expression" dxfId="2" priority="2">
      <x:formula>$E6="CHECK"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158" t="str">
        <x:v>sector</x:v>
      </x:c>
      <x:c r="B1" s="159" t="str">
        <x:v>loan_count</x:v>
      </x:c>
      <x:c r="C1" s="159" t="str">
        <x:v>total_ead</x:v>
      </x:c>
      <x:c r="D1" s="159" t="str">
        <x:v>defaults</x:v>
      </x:c>
      <x:c r="E1" s="159" t="str">
        <x:v>observed_default_rate</x:v>
      </x:c>
      <x:c r="F1" s="159" t="str">
        <x:v>avg_model_probability</x:v>
      </x:c>
      <x:c r="G1" s="159" t="str">
        <x:v>term_risk_loss_proxy</x:v>
      </x:c>
      <x:c r="H1" s="159" t="str">
        <x:v>existing_expected_loss</x:v>
      </x:c>
      <x:c r="I1" s="159" t="str">
        <x:v>avg_credit_score</x:v>
      </x:c>
      <x:c r="J1" s="159" t="str">
        <x:v>default_rate_rank</x:v>
      </x:c>
      <x:c r="K1" s="159" t="str">
        <x:v>exposure_rank</x:v>
      </x:c>
      <x:c r="L1" s="160" t="str">
        <x:v>exposure_share</x:v>
      </x:c>
    </x:row>
    <x:row r="2">
      <x:c r="A2" s="157" t="str">
        <x:v>Financials</x:v>
      </x:c>
      <x:c r="B2" s="157" t="n">
        <x:v>5023</x:v>
      </x:c>
      <x:c r="C2" s="161" t="n">
        <x:v>30166694281.04</x:v>
      </x:c>
      <x:c r="D2" s="157" t="n">
        <x:v>741</x:v>
      </x:c>
      <x:c r="E2" s="162" t="n">
        <x:v>0.14752140155285687</x:v>
      </x:c>
      <x:c r="F2" s="162" t="n">
        <x:v>0.16734242225761498</x:v>
      </x:c>
      <x:c r="G2" s="162" t="n">
        <x:v>2469205138.57</x:v>
      </x:c>
      <x:c r="H2" s="162" t="n">
        <x:v>316107002.19</x:v>
      </x:c>
      <x:c r="I2" s="161" t="n">
        <x:v>714.4441568783595</x:v>
      </x:c>
      <x:c r="J2" s="163" t="n">
        <x:v>1</x:v>
      </x:c>
      <x:c r="K2" s="157" t="n">
        <x:v>1</x:v>
      </x:c>
      <x:c r="L2" s="162" t="n">
        <x:v>0.18290578748602274</x:v>
      </x:c>
    </x:row>
    <x:row r="3">
      <x:c r="A3" s="157" t="str">
        <x:v>Energy</x:v>
      </x:c>
      <x:c r="B3" s="157" t="n">
        <x:v>5132</x:v>
      </x:c>
      <x:c r="C3" s="161" t="n">
        <x:v>20935495607.76</x:v>
      </x:c>
      <x:c r="D3" s="157" t="n">
        <x:v>742</x:v>
      </x:c>
      <x:c r="E3" s="162" t="n">
        <x:v>0.1445830085736555</x:v>
      </x:c>
      <x:c r="F3" s="162" t="n">
        <x:v>0.16909193082618862</x:v>
      </x:c>
      <x:c r="G3" s="162" t="n">
        <x:v>1795532042.83</x:v>
      </x:c>
      <x:c r="H3" s="162" t="n">
        <x:v>247405336.68</x:v>
      </x:c>
      <x:c r="I3" s="161" t="n">
        <x:v>714.0323460639127</x:v>
      </x:c>
      <x:c r="J3" s="163" t="n">
        <x:v>2</x:v>
      </x:c>
      <x:c r="K3" s="157" t="n">
        <x:v>4</x:v>
      </x:c>
      <x:c r="L3" s="162" t="n">
        <x:v>0.1269354631592567</x:v>
      </x:c>
    </x:row>
    <x:row r="4">
      <x:c r="A4" s="157" t="str">
        <x:v>Industrials</x:v>
      </x:c>
      <x:c r="B4" s="157" t="n">
        <x:v>5012</x:v>
      </x:c>
      <x:c r="C4" s="161" t="n">
        <x:v>15712153602.53</x:v>
      </x:c>
      <x:c r="D4" s="157" t="n">
        <x:v>722</x:v>
      </x:c>
      <x:c r="E4" s="162" t="n">
        <x:v>0.14405426975259378</x:v>
      </x:c>
      <x:c r="F4" s="162" t="n">
        <x:v>0.1679714830407023</x:v>
      </x:c>
      <x:c r="G4" s="162" t="n">
        <x:v>1480913476.99</x:v>
      </x:c>
      <x:c r="H4" s="162" t="n">
        <x:v>196375775.55</x:v>
      </x:c>
      <x:c r="I4" s="161" t="n">
        <x:v>716.2958898643257</x:v>
      </x:c>
      <x:c r="J4" s="163" t="n">
        <x:v>3</x:v>
      </x:c>
      <x:c r="K4" s="157" t="n">
        <x:v>6</x:v>
      </x:c>
      <x:c r="L4" s="162" t="n">
        <x:v>0.09526545404672768</x:v>
      </x:c>
    </x:row>
    <x:row r="5">
      <x:c r="A5" s="157" t="str">
        <x:v>Retail</x:v>
      </x:c>
      <x:c r="B5" s="157" t="n">
        <x:v>4951</x:v>
      </x:c>
      <x:c r="C5" s="161" t="n">
        <x:v>3959380562.16</x:v>
      </x:c>
      <x:c r="D5" s="157" t="n">
        <x:v>696</x:v>
      </x:c>
      <x:c r="E5" s="162" t="n">
        <x:v>0.14057766107856998</x:v>
      </x:c>
      <x:c r="F5" s="162" t="n">
        <x:v>0.16670310058574025</x:v>
      </x:c>
      <x:c r="G5" s="162" t="n">
        <x:v>425716957.13</x:v>
      </x:c>
      <x:c r="H5" s="162" t="n">
        <x:v>59674821.98</x:v>
      </x:c>
      <x:c r="I5" s="161" t="n">
        <x:v>714.346596647142</x:v>
      </x:c>
      <x:c r="J5" s="163" t="n">
        <x:v>4</x:v>
      </x:c>
      <x:c r="K5" s="157" t="n">
        <x:v>10</x:v>
      </x:c>
      <x:c r="L5" s="162" t="n">
        <x:v>0.0240063963565901</x:v>
      </x:c>
    </x:row>
    <x:row r="6">
      <x:c r="A6" s="157" t="str">
        <x:v>Real_Estate</x:v>
      </x:c>
      <x:c r="B6" s="157" t="n">
        <x:v>4862</x:v>
      </x:c>
      <x:c r="C6" s="161" t="n">
        <x:v>25305432304.19</x:v>
      </x:c>
      <x:c r="D6" s="157" t="n">
        <x:v>678</x:v>
      </x:c>
      <x:c r="E6" s="162" t="n">
        <x:v>0.13944878650761003</x:v>
      </x:c>
      <x:c r="F6" s="162" t="n">
        <x:v>0.1675331306046894</x:v>
      </x:c>
      <x:c r="G6" s="162" t="n">
        <x:v>1893923826.71</x:v>
      </x:c>
      <x:c r="H6" s="162" t="n">
        <x:v>261792214.25</x:v>
      </x:c>
      <x:c r="I6" s="161" t="n">
        <x:v>714.7139037433155</x:v>
      </x:c>
      <x:c r="J6" s="163" t="n">
        <x:v>5</x:v>
      </x:c>
      <x:c r="K6" s="157" t="n">
        <x:v>2</x:v>
      </x:c>
      <x:c r="L6" s="162" t="n">
        <x:v>0.15343113103980918</x:v>
      </x:c>
    </x:row>
    <x:row r="7">
      <x:c r="A7" s="157" t="str">
        <x:v>Consumer</x:v>
      </x:c>
      <x:c r="B7" s="157" t="n">
        <x:v>5043</x:v>
      </x:c>
      <x:c r="C7" s="161" t="n">
        <x:v>5049910318.7</x:v>
      </x:c>
      <x:c r="D7" s="157" t="n">
        <x:v>691</x:v>
      </x:c>
      <x:c r="E7" s="162" t="n">
        <x:v>0.13702161411858022</x:v>
      </x:c>
      <x:c r="F7" s="162" t="n">
        <x:v>0.16562441165972636</x:v>
      </x:c>
      <x:c r="G7" s="162" t="n">
        <x:v>511784442.8</x:v>
      </x:c>
      <x:c r="H7" s="162" t="n">
        <x:v>69044213.04</x:v>
      </x:c>
      <x:c r="I7" s="161" t="n">
        <x:v>714.1088637715645</x:v>
      </x:c>
      <x:c r="J7" s="163" t="n">
        <x:v>6</x:v>
      </x:c>
      <x:c r="K7" s="157" t="n">
        <x:v>9</x:v>
      </x:c>
      <x:c r="L7" s="162" t="n">
        <x:v>0.03061846336130179</x:v>
      </x:c>
    </x:row>
    <x:row r="8">
      <x:c r="A8" s="157" t="str">
        <x:v>Technology</x:v>
      </x:c>
      <x:c r="B8" s="157" t="n">
        <x:v>4959</x:v>
      </x:c>
      <x:c r="C8" s="161" t="n">
        <x:v>12773050110.74</x:v>
      </x:c>
      <x:c r="D8" s="157" t="n">
        <x:v>676</x:v>
      </x:c>
      <x:c r="E8" s="162" t="n">
        <x:v>0.13631780600927607</x:v>
      </x:c>
      <x:c r="F8" s="162" t="n">
        <x:v>0.16762687678967533</x:v>
      </x:c>
      <x:c r="G8" s="162" t="n">
        <x:v>1412295775.24</x:v>
      </x:c>
      <x:c r="H8" s="162" t="n">
        <x:v>214071821.53</x:v>
      </x:c>
      <x:c r="I8" s="161" t="n">
        <x:v>714.8909054244807</x:v>
      </x:c>
      <x:c r="J8" s="163" t="n">
        <x:v>7</x:v>
      </x:c>
      <x:c r="K8" s="157" t="n">
        <x:v>7</x:v>
      </x:c>
      <x:c r="L8" s="162" t="n">
        <x:v>0.07744517073492171</x:v>
      </x:c>
    </x:row>
    <x:row r="9">
      <x:c r="A9" s="157" t="str">
        <x:v>Telecom</x:v>
      </x:c>
      <x:c r="B9" s="157" t="n">
        <x:v>5077</x:v>
      </x:c>
      <x:c r="C9" s="161" t="n">
        <x:v>18910385182.74</x:v>
      </x:c>
      <x:c r="D9" s="157" t="n">
        <x:v>685</x:v>
      </x:c>
      <x:c r="E9" s="162" t="n">
        <x:v>0.1349221981485129</x:v>
      </x:c>
      <x:c r="F9" s="162" t="n">
        <x:v>0.1656366178845775</x:v>
      </x:c>
      <x:c r="G9" s="162" t="n">
        <x:v>1665576551.33</x:v>
      </x:c>
      <x:c r="H9" s="162" t="n">
        <x:v>205262657.23</x:v>
      </x:c>
      <x:c r="I9" s="161" t="n">
        <x:v>716.468189875911</x:v>
      </x:c>
      <x:c r="J9" s="163" t="n">
        <x:v>8</x:v>
      </x:c>
      <x:c r="K9" s="157" t="n">
        <x:v>5</x:v>
      </x:c>
      <x:c r="L9" s="162" t="n">
        <x:v>0.11465687493929257</x:v>
      </x:c>
    </x:row>
    <x:row r="10">
      <x:c r="A10" s="157" t="str">
        <x:v>Utilities</x:v>
      </x:c>
      <x:c r="B10" s="157" t="n">
        <x:v>4959</x:v>
      </x:c>
      <x:c r="C10" s="161" t="n">
        <x:v>22069987323.25</x:v>
      </x:c>
      <x:c r="D10" s="157" t="n">
        <x:v>662</x:v>
      </x:c>
      <x:c r="E10" s="162" t="n">
        <x:v>0.1334946561806816</x:v>
      </x:c>
      <x:c r="F10" s="162" t="n">
        <x:v>0.1661368576325872</x:v>
      </x:c>
      <x:c r="G10" s="162" t="n">
        <x:v>1744377026.6</x:v>
      </x:c>
      <x:c r="H10" s="162" t="n">
        <x:v>235836807.89000002</x:v>
      </x:c>
      <x:c r="I10" s="161" t="n">
        <x:v>715.0820729985884</x:v>
      </x:c>
      <x:c r="J10" s="163" t="n">
        <x:v>9</x:v>
      </x:c>
      <x:c r="K10" s="157" t="n">
        <x:v>3</x:v>
      </x:c>
      <x:c r="L10" s="162" t="n">
        <x:v>0.1338140789825518</x:v>
      </x:c>
    </x:row>
    <x:row r="11">
      <x:c r="A11" s="157" t="str">
        <x:v>Healthcare</x:v>
      </x:c>
      <x:c r="B11" s="157" t="n">
        <x:v>4982</x:v>
      </x:c>
      <x:c r="C11" s="161" t="n">
        <x:v>10047744439.08</x:v>
      </x:c>
      <x:c r="D11" s="157" t="n">
        <x:v>657</x:v>
      </x:c>
      <x:c r="E11" s="162" t="n">
        <x:v>0.1318747490967483</x:v>
      </x:c>
      <x:c r="F11" s="162" t="n">
        <x:v>0.16577604154957848</x:v>
      </x:c>
      <x:c r="G11" s="162" t="n">
        <x:v>896174002.14</x:v>
      </x:c>
      <x:c r="H11" s="162" t="n">
        <x:v>118215403.03</x:v>
      </x:c>
      <x:c r="I11" s="161" t="n">
        <x:v>715.4397832195905</x:v>
      </x:c>
      <x:c r="J11" s="163" t="n">
        <x:v>10</x:v>
      </x:c>
      <x:c r="K11" s="157" t="n">
        <x:v>8</x:v>
      </x:c>
      <x:c r="L11" s="162" t="n">
        <x:v>0.06092117989352577</x:v>
      </x:c>
    </x:row>
  </x:sheetData>
  <x:pageMargins left="0.7" right="0.7" top="0.75" bottom="0.75" header="0.3" footer="0.3"/>
  <x:tableParts count="1">
    <x:tablePart xmlns:r="http://schemas.openxmlformats.org/officeDocument/2006/relationships" r:id="Re84ade8c337645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3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158" t="str">
        <x:v>model_name</x:v>
      </x:c>
      <x:c r="B1" s="159" t="str">
        <x:v>split</x:v>
      </x:c>
      <x:c r="C1" s="159" t="str">
        <x:v>threshold_type</x:v>
      </x:c>
      <x:c r="D1" s="159" t="str">
        <x:v>threshold</x:v>
      </x:c>
      <x:c r="E1" s="159" t="str">
        <x:v>roc_auc</x:v>
      </x:c>
      <x:c r="F1" s="159" t="str">
        <x:v>pr_auc</x:v>
      </x:c>
      <x:c r="G1" s="159" t="str">
        <x:v>precision</x:v>
      </x:c>
      <x:c r="H1" s="159" t="str">
        <x:v>recall</x:v>
      </x:c>
      <x:c r="I1" s="159" t="str">
        <x:v>f1</x:v>
      </x:c>
      <x:c r="J1" s="159" t="str">
        <x:v>specificity</x:v>
      </x:c>
      <x:c r="K1" s="159" t="str">
        <x:v>brier_score</x:v>
      </x:c>
      <x:c r="L1" s="159" t="str">
        <x:v>approval_rate</x:v>
      </x:c>
      <x:c r="M1" s="159" t="str">
        <x:v>true_negative</x:v>
      </x:c>
      <x:c r="N1" s="159" t="str">
        <x:v>false_positive</x:v>
      </x:c>
      <x:c r="O1" s="159" t="str">
        <x:v>false_negative</x:v>
      </x:c>
      <x:c r="P1" s="160" t="str">
        <x:v>true_positive</x:v>
      </x:c>
    </x:row>
    <x:row r="2">
      <x:c r="A2" s="157" t="str">
        <x:v>Logistic Regression</x:v>
      </x:c>
      <x:c r="B2" s="157" t="str">
        <x:v>validation</x:v>
      </x:c>
      <x:c r="C2" s="157" t="str">
        <x:v>standard_0.50</x:v>
      </x:c>
      <x:c r="D2" s="164" t="n">
        <x:v>0.5</x:v>
      </x:c>
      <x:c r="E2" s="164" t="n">
        <x:v>0.8356338470516504</x:v>
      </x:c>
      <x:c r="F2" s="164" t="n">
        <x:v>0.3997536059844589</x:v>
      </x:c>
      <x:c r="G2" s="164" t="n">
        <x:v>0.4222222222222222</x:v>
      </x:c>
      <x:c r="H2" s="164" t="n">
        <x:v>0.4157549234135667</x:v>
      </x:c>
      <x:c r="I2" s="164" t="n">
        <x:v>0.4189636163175303</x:v>
      </x:c>
      <x:c r="J2" s="164" t="n">
        <x:v>0.94908948502056</x:v>
      </x:c>
      <x:c r="K2" s="164" t="n">
        <x:v>0.0822188244285085</x:v>
      </x:c>
      <x:c r="L2" s="164" t="n">
        <x:v>0.9191229331416249</x:v>
      </x:c>
      <x:c r="M2" s="163" t="n">
        <x:v>4847</x:v>
      </x:c>
      <x:c r="N2" s="163" t="n">
        <x:v>260</x:v>
      </x:c>
      <x:c r="O2" s="163" t="n">
        <x:v>267</x:v>
      </x:c>
      <x:c r="P2" s="163" t="n">
        <x:v>190</x:v>
      </x:c>
    </x:row>
    <x:row r="3">
      <x:c r="A3" s="157" t="str">
        <x:v>Logistic Regression</x:v>
      </x:c>
      <x:c r="B3" s="157" t="str">
        <x:v>test</x:v>
      </x:c>
      <x:c r="C3" s="157" t="str">
        <x:v>standard_0.50</x:v>
      </x:c>
      <x:c r="D3" s="164" t="n">
        <x:v>0.5</x:v>
      </x:c>
      <x:c r="E3" s="164" t="n">
        <x:v>0.8550358979235582</x:v>
      </x:c>
      <x:c r="F3" s="164" t="n">
        <x:v>0.4085015335567415</x:v>
      </x:c>
      <x:c r="G3" s="164" t="n">
        <x:v>0.1737336694934678</x:v>
      </x:c>
      <x:c r="H3" s="164" t="n">
        <x:v>0.8763005780346821</x:v>
      </x:c>
      <x:c r="I3" s="164" t="n">
        <x:v>0.2899770466717674</x:v>
      </x:c>
      <x:c r="J3" s="164" t="n">
        <x:v>0.6469839404622013</x:v>
      </x:c>
      <x:c r="K3" s="164" t="n">
        <x:v>0.2275238776502636</x:v>
      </x:c>
      <x:c r="L3" s="164" t="n">
        <x:v>0.6061207908278414</x:v>
      </x:c>
      <x:c r="M3" s="163" t="n">
        <x:v>6607</x:v>
      </x:c>
      <x:c r="N3" s="163" t="n">
        <x:v>3605</x:v>
      </x:c>
      <x:c r="O3" s="163" t="n">
        <x:v>107</x:v>
      </x:c>
      <x:c r="P3" s="163" t="n">
        <x:v>758</x:v>
      </x:c>
    </x:row>
    <x:row r="4">
      <x:c r="A4" s="157" t="str">
        <x:v>Calibrated Random Forest</x:v>
      </x:c>
      <x:c r="B4" s="157" t="str">
        <x:v>validation</x:v>
      </x:c>
      <x:c r="C4" s="157" t="str">
        <x:v>standard_0.50</x:v>
      </x:c>
      <x:c r="D4" s="164" t="n">
        <x:v>0.5</x:v>
      </x:c>
      <x:c r="E4" s="164" t="n">
        <x:v>0.8648386241221235</x:v>
      </x:c>
      <x:c r="F4" s="164" t="n">
        <x:v>0.4346858061883983</x:v>
      </x:c>
      <x:c r="G4" s="164" t="n">
        <x:v>0</x:v>
      </x:c>
      <x:c r="H4" s="164" t="n">
        <x:v>0</x:v>
      </x:c>
      <x:c r="I4" s="164" t="n">
        <x:v>0</x:v>
      </x:c>
      <x:c r="J4" s="164" t="n">
        <x:v>1</x:v>
      </x:c>
      <x:c r="K4" s="164" t="n">
        <x:v>0.0646716840731634</x:v>
      </x:c>
      <x:c r="L4" s="164" t="n">
        <x:v>1</x:v>
      </x:c>
      <x:c r="M4" s="163" t="n">
        <x:v>5107</x:v>
      </x:c>
      <x:c r="N4" s="163" t="n">
        <x:v>0</x:v>
      </x:c>
      <x:c r="O4" s="163" t="n">
        <x:v>457</x:v>
      </x:c>
      <x:c r="P4" s="163" t="n">
        <x:v>0</x:v>
      </x:c>
    </x:row>
    <x:row r="5">
      <x:c r="A5" s="157" t="str">
        <x:v>Calibrated Random Forest</x:v>
      </x:c>
      <x:c r="B5" s="157" t="str">
        <x:v>test</x:v>
      </x:c>
      <x:c r="C5" s="157" t="str">
        <x:v>standard_0.50</x:v>
      </x:c>
      <x:c r="D5" s="164" t="n">
        <x:v>0.5</x:v>
      </x:c>
      <x:c r="E5" s="164" t="n">
        <x:v>0.8675410771414791</x:v>
      </x:c>
      <x:c r="F5" s="164" t="n">
        <x:v>0.4247449798155235</x:v>
      </x:c>
      <x:c r="G5" s="164" t="n">
        <x:v>0</x:v>
      </x:c>
      <x:c r="H5" s="164" t="n">
        <x:v>0</x:v>
      </x:c>
      <x:c r="I5" s="164" t="n">
        <x:v>0</x:v>
      </x:c>
      <x:c r="J5" s="164" t="n">
        <x:v>1</x:v>
      </x:c>
      <x:c r="K5" s="164" t="n">
        <x:v>0.0668791564357052</x:v>
      </x:c>
      <x:c r="L5" s="164" t="n">
        <x:v>1</x:v>
      </x:c>
      <x:c r="M5" s="163" t="n">
        <x:v>10212</x:v>
      </x:c>
      <x:c r="N5" s="163" t="n">
        <x:v>0</x:v>
      </x:c>
      <x:c r="O5" s="163" t="n">
        <x:v>865</x:v>
      </x:c>
      <x:c r="P5" s="163" t="n">
        <x:v>0</x:v>
      </x:c>
    </x:row>
    <x:row r="6">
      <x:c r="A6" s="157" t="str">
        <x:v>Calibrated Random Forest</x:v>
      </x:c>
      <x:c r="B6" s="157" t="str">
        <x:v>validation</x:v>
      </x:c>
      <x:c r="C6" s="157" t="str">
        <x:v>operating_recall_constraint</x:v>
      </x:c>
      <x:c r="D6" s="164" t="n">
        <x:v>0.17</x:v>
      </x:c>
      <x:c r="E6" s="164" t="n">
        <x:v>0.8648386241221235</x:v>
      </x:c>
      <x:c r="F6" s="164" t="n">
        <x:v>0.4346858061883983</x:v>
      </x:c>
      <x:c r="G6" s="164" t="n">
        <x:v>0.3433476394849785</x:v>
      </x:c>
      <x:c r="H6" s="164" t="n">
        <x:v>0.700218818380744</x:v>
      </x:c>
      <x:c r="I6" s="164" t="n">
        <x:v>0.4607631389488841</x:v>
      </x:c>
      <x:c r="J6" s="164" t="n">
        <x:v>0.8801644801253182</x:v>
      </x:c>
      <x:c r="K6" s="164" t="n">
        <x:v>0.0646716840731634</x:v>
      </x:c>
      <x:c r="L6" s="164" t="n">
        <x:v>0.8324946081955428</x:v>
      </x:c>
      <x:c r="M6" s="163" t="n">
        <x:v>4495</x:v>
      </x:c>
      <x:c r="N6" s="163" t="n">
        <x:v>612</x:v>
      </x:c>
      <x:c r="O6" s="163" t="n">
        <x:v>137</x:v>
      </x:c>
      <x:c r="P6" s="163" t="n">
        <x:v>320</x:v>
      </x:c>
    </x:row>
    <x:row r="7">
      <x:c r="A7" s="157" t="str">
        <x:v>Calibrated Random Forest</x:v>
      </x:c>
      <x:c r="B7" s="157" t="str">
        <x:v>test</x:v>
      </x:c>
      <x:c r="C7" s="157" t="str">
        <x:v>operating_recall_constraint</x:v>
      </x:c>
      <x:c r="D7" s="164" t="n">
        <x:v>0.17</x:v>
      </x:c>
      <x:c r="E7" s="164" t="n">
        <x:v>0.8675410771414791</x:v>
      </x:c>
      <x:c r="F7" s="164" t="n">
        <x:v>0.4247449798155235</x:v>
      </x:c>
      <x:c r="G7" s="164" t="n">
        <x:v>0.1982194291699398</x:v>
      </x:c>
      <x:c r="H7" s="164" t="n">
        <x:v>0.8751445086705202</x:v>
      </x:c>
      <x:c r="I7" s="164" t="n">
        <x:v>0.3232280102476516</x:v>
      </x:c>
      <x:c r="J7" s="164" t="n">
        <x:v>0.700156678417548</x:v>
      </x:c>
      <x:c r="K7" s="164" t="n">
        <x:v>0.0668791564357052</x:v>
      </x:c>
      <x:c r="L7" s="164" t="n">
        <x:v>0.6552315608919382</x:v>
      </x:c>
      <x:c r="M7" s="163" t="n">
        <x:v>7150</x:v>
      </x:c>
      <x:c r="N7" s="163" t="n">
        <x:v>3062</x:v>
      </x:c>
      <x:c r="O7" s="163" t="n">
        <x:v>108</x:v>
      </x:c>
      <x:c r="P7" s="163" t="n">
        <x:v>757</x:v>
      </x:c>
    </x:row>
  </x:sheetData>
  <x:pageMargins left="0.7" right="0.7" top="0.75" bottom="0.75" header="0.3" footer="0.3"/>
  <x:tableParts count="1">
    <x:tablePart xmlns:r="http://schemas.openxmlformats.org/officeDocument/2006/relationships" r:id="R9c8c969d084f43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9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158" t="str">
        <x:v>loan_id</x:v>
      </x:c>
      <x:c r="B1" s="159" t="str">
        <x:v>origination_date</x:v>
      </x:c>
      <x:c r="C1" s="159" t="str">
        <x:v>sector</x:v>
      </x:c>
      <x:c r="D1" s="159" t="str">
        <x:v>loan_type</x:v>
      </x:c>
      <x:c r="E1" s="159" t="str">
        <x:v>collateral</x:v>
      </x:c>
      <x:c r="F1" s="159" t="str">
        <x:v>initial_rating</x:v>
      </x:c>
      <x:c r="G1" s="159" t="str">
        <x:v>credit_score</x:v>
      </x:c>
      <x:c r="H1" s="159" t="str">
        <x:v>ead</x:v>
      </x:c>
      <x:c r="I1" s="159" t="str">
        <x:v>lgd</x:v>
      </x:c>
      <x:c r="J1" s="159" t="str">
        <x:v>default_probability</x:v>
      </x:c>
      <x:c r="K1" s="159" t="str">
        <x:v>risk_band</x:v>
      </x:c>
      <x:c r="L1" s="159" t="str">
        <x:v>risk_decile</x:v>
      </x:c>
      <x:c r="M1" s="159" t="str">
        <x:v>underwriting_action</x:v>
      </x:c>
      <x:c r="N1" s="159" t="str">
        <x:v>term_risk_loss_proxy</x:v>
      </x:c>
      <x:c r="O1" s="159" t="str">
        <x:v>defaulted</x:v>
      </x:c>
      <x:c r="P1" s="160" t="str">
        <x:v>data_split</x:v>
      </x:c>
    </x:row>
    <x:row r="2">
      <x:c r="A2" s="157" t="str">
        <x:v>L021177</x:v>
      </x:c>
      <x:c r="B2" s="165" t="n">
        <x:v>44958</x:v>
      </x:c>
      <x:c r="C2" s="157" t="str">
        <x:v>Utilities</x:v>
      </x:c>
      <x:c r="D2" s="157" t="str">
        <x:v>mortgage</x:v>
      </x:c>
      <x:c r="E2" s="157" t="str">
        <x:v>unsecured</x:v>
      </x:c>
      <x:c r="F2" s="157" t="str">
        <x:v>BB</x:v>
      </x:c>
      <x:c r="G2" s="157" t="n">
        <x:v>653</x:v>
      </x:c>
      <x:c r="H2" s="166" t="n">
        <x:v>148114601.93</x:v>
      </x:c>
      <x:c r="I2" s="162" t="n">
        <x:v>0.6003</x:v>
      </x:c>
      <x:c r="J2" s="162" t="n">
        <x:v>0.193414</x:v>
      </x:c>
      <x:c r="K2" s="157" t="str">
        <x:v>High</x:v>
      </x:c>
      <x:c r="L2" s="157" t="n">
        <x:v>3</x:v>
      </x:c>
      <x:c r="M2" s="157" t="str">
        <x:v>Manual Review</x:v>
      </x:c>
      <x:c r="N2" s="166" t="n">
        <x:v>17197056.8</x:v>
      </x:c>
      <x:c r="O2" s="157" t="n">
        <x:v>0</x:v>
      </x:c>
      <x:c r="P2" s="157" t="str">
        <x:v>test</x:v>
      </x:c>
    </x:row>
    <x:row r="3">
      <x:c r="A3" s="157" t="str">
        <x:v>L036333</x:v>
      </x:c>
      <x:c r="B3" s="165" t="n">
        <x:v>45017</x:v>
      </x:c>
      <x:c r="C3" s="157" t="str">
        <x:v>Industrials</x:v>
      </x:c>
      <x:c r="D3" s="157" t="str">
        <x:v>term_loan</x:v>
      </x:c>
      <x:c r="E3" s="157" t="str">
        <x:v>secured</x:v>
      </x:c>
      <x:c r="F3" s="157" t="str">
        <x:v>B</x:v>
      </x:c>
      <x:c r="G3" s="157" t="n">
        <x:v>647</x:v>
      </x:c>
      <x:c r="H3" s="166" t="n">
        <x:v>128645681.69</x:v>
      </x:c>
      <x:c r="I3" s="162" t="n">
        <x:v>0.4244</x:v>
      </x:c>
      <x:c r="J3" s="162" t="n">
        <x:v>0.246606</x:v>
      </x:c>
      <x:c r="K3" s="157" t="str">
        <x:v>High</x:v>
      </x:c>
      <x:c r="L3" s="157" t="n">
        <x:v>2</x:v>
      </x:c>
      <x:c r="M3" s="157" t="str">
        <x:v>Manual Review</x:v>
      </x:c>
      <x:c r="N3" s="166" t="n">
        <x:v>13464003.84</x:v>
      </x:c>
      <x:c r="O3" s="157" t="n">
        <x:v>0</x:v>
      </x:c>
      <x:c r="P3" s="157" t="str">
        <x:v>test</x:v>
      </x:c>
    </x:row>
    <x:row r="4">
      <x:c r="A4" s="157" t="str">
        <x:v>L020249</x:v>
      </x:c>
      <x:c r="B4" s="165" t="n">
        <x:v>44621</x:v>
      </x:c>
      <x:c r="C4" s="157" t="str">
        <x:v>Utilities</x:v>
      </x:c>
      <x:c r="D4" s="157" t="str">
        <x:v>term_loan</x:v>
      </x:c>
      <x:c r="E4" s="157" t="str">
        <x:v>unsecured</x:v>
      </x:c>
      <x:c r="F4" s="157" t="str">
        <x:v>CCC</x:v>
      </x:c>
      <x:c r="G4" s="157" t="n">
        <x:v>591</x:v>
      </x:c>
      <x:c r="H4" s="166" t="n">
        <x:v>40599258.32</x:v>
      </x:c>
      <x:c r="I4" s="162" t="n">
        <x:v>0.6623</x:v>
      </x:c>
      <x:c r="J4" s="162" t="n">
        <x:v>0.390193</x:v>
      </x:c>
      <x:c r="K4" s="157" t="str">
        <x:v>Very High</x:v>
      </x:c>
      <x:c r="L4" s="157" t="n">
        <x:v>1</x:v>
      </x:c>
      <x:c r="M4" s="157" t="str">
        <x:v>Manual Review</x:v>
      </x:c>
      <x:c r="N4" s="166" t="n">
        <x:v>10491856.18</x:v>
      </x:c>
      <x:c r="O4" s="157" t="n">
        <x:v>0</x:v>
      </x:c>
      <x:c r="P4" s="157" t="str">
        <x:v>test</x:v>
      </x:c>
    </x:row>
    <x:row r="5">
      <x:c r="A5" s="157" t="str">
        <x:v>L021211</x:v>
      </x:c>
      <x:c r="B5" s="165" t="n">
        <x:v>44986</x:v>
      </x:c>
      <x:c r="C5" s="157" t="str">
        <x:v>Energy</x:v>
      </x:c>
      <x:c r="D5" s="157" t="str">
        <x:v>revolving</x:v>
      </x:c>
      <x:c r="E5" s="157" t="str">
        <x:v>unsecured</x:v>
      </x:c>
      <x:c r="F5" s="157" t="str">
        <x:v>CCC</x:v>
      </x:c>
      <x:c r="G5" s="157" t="n">
        <x:v>675</x:v>
      </x:c>
      <x:c r="H5" s="166" t="n">
        <x:v>44838906.62</x:v>
      </x:c>
      <x:c r="I5" s="162" t="n">
        <x:v>0.767</x:v>
      </x:c>
      <x:c r="J5" s="162" t="n">
        <x:v>0.249927</x:v>
      </x:c>
      <x:c r="K5" s="157" t="str">
        <x:v>High</x:v>
      </x:c>
      <x:c r="L5" s="157" t="n">
        <x:v>2</x:v>
      </x:c>
      <x:c r="M5" s="157" t="str">
        <x:v>Manual Review</x:v>
      </x:c>
      <x:c r="N5" s="166" t="n">
        <x:v>8595349.77</x:v>
      </x:c>
      <x:c r="O5" s="157" t="n">
        <x:v>0</x:v>
      </x:c>
      <x:c r="P5" s="157" t="str">
        <x:v>test</x:v>
      </x:c>
    </x:row>
    <x:row r="6">
      <x:c r="A6" s="157" t="str">
        <x:v>L010925</x:v>
      </x:c>
      <x:c r="B6" s="165" t="n">
        <x:v>44986</x:v>
      </x:c>
      <x:c r="C6" s="157" t="str">
        <x:v>Industrials</x:v>
      </x:c>
      <x:c r="D6" s="157" t="str">
        <x:v>mortgage</x:v>
      </x:c>
      <x:c r="E6" s="157" t="str">
        <x:v>unsecured</x:v>
      </x:c>
      <x:c r="F6" s="157" t="str">
        <x:v>B</x:v>
      </x:c>
      <x:c r="G6" s="157" t="n">
        <x:v>615</x:v>
      </x:c>
      <x:c r="H6" s="166" t="n">
        <x:v>71843893.2</x:v>
      </x:c>
      <x:c r="I6" s="162" t="n">
        <x:v>0.619</x:v>
      </x:c>
      <x:c r="J6" s="162" t="n">
        <x:v>0.180585</x:v>
      </x:c>
      <x:c r="K6" s="157" t="str">
        <x:v>High</x:v>
      </x:c>
      <x:c r="L6" s="157" t="n">
        <x:v>3</x:v>
      </x:c>
      <x:c r="M6" s="157" t="str">
        <x:v>Manual Review</x:v>
      </x:c>
      <x:c r="N6" s="166" t="n">
        <x:v>8030862.33</x:v>
      </x:c>
      <x:c r="O6" s="157" t="n">
        <x:v>0</x:v>
      </x:c>
      <x:c r="P6" s="157" t="str">
        <x:v>test</x:v>
      </x:c>
    </x:row>
    <x:row r="7">
      <x:c r="A7" s="157" t="str">
        <x:v>L016871</x:v>
      </x:c>
      <x:c r="B7" s="165" t="n">
        <x:v>45047</x:v>
      </x:c>
      <x:c r="C7" s="157" t="str">
        <x:v>Financials</x:v>
      </x:c>
      <x:c r="D7" s="157" t="str">
        <x:v>term_loan</x:v>
      </x:c>
      <x:c r="E7" s="157" t="str">
        <x:v>unsecured</x:v>
      </x:c>
      <x:c r="F7" s="157" t="str">
        <x:v>CCC</x:v>
      </x:c>
      <x:c r="G7" s="157" t="n">
        <x:v>678</x:v>
      </x:c>
      <x:c r="H7" s="166" t="n">
        <x:v>33146640.61</x:v>
      </x:c>
      <x:c r="I7" s="162" t="n">
        <x:v>0.5837</x:v>
      </x:c>
      <x:c r="J7" s="162" t="n">
        <x:v>0.39871</x:v>
      </x:c>
      <x:c r="K7" s="157" t="str">
        <x:v>Very High</x:v>
      </x:c>
      <x:c r="L7" s="157" t="n">
        <x:v>1</x:v>
      </x:c>
      <x:c r="M7" s="157" t="str">
        <x:v>Manual Review</x:v>
      </x:c>
      <x:c r="N7" s="166" t="n">
        <x:v>7714119.12</x:v>
      </x:c>
      <x:c r="O7" s="157" t="n">
        <x:v>0</x:v>
      </x:c>
      <x:c r="P7" s="157" t="str">
        <x:v>test</x:v>
      </x:c>
    </x:row>
    <x:row r="8">
      <x:c r="A8" s="157" t="str">
        <x:v>L023250</x:v>
      </x:c>
      <x:c r="B8" s="165" t="n">
        <x:v>44682</x:v>
      </x:c>
      <x:c r="C8" s="157" t="str">
        <x:v>Utilities</x:v>
      </x:c>
      <x:c r="D8" s="157" t="str">
        <x:v>bond</x:v>
      </x:c>
      <x:c r="E8" s="157" t="str">
        <x:v>unsecured</x:v>
      </x:c>
      <x:c r="F8" s="157" t="str">
        <x:v>CCC</x:v>
      </x:c>
      <x:c r="G8" s="157" t="n">
        <x:v>603</x:v>
      </x:c>
      <x:c r="H8" s="166" t="n">
        <x:v>26258237.26</x:v>
      </x:c>
      <x:c r="I8" s="162" t="n">
        <x:v>0.6459</x:v>
      </x:c>
      <x:c r="J8" s="162" t="n">
        <x:v>0.412527</x:v>
      </x:c>
      <x:c r="K8" s="157" t="str">
        <x:v>Very High</x:v>
      </x:c>
      <x:c r="L8" s="157" t="n">
        <x:v>1</x:v>
      </x:c>
      <x:c r="M8" s="157" t="str">
        <x:v>Manual Review</x:v>
      </x:c>
      <x:c r="N8" s="166" t="n">
        <x:v>6996538.55</x:v>
      </x:c>
      <x:c r="O8" s="157" t="n">
        <x:v>1</x:v>
      </x:c>
      <x:c r="P8" s="157" t="str">
        <x:v>test</x:v>
      </x:c>
    </x:row>
    <x:row r="9">
      <x:c r="A9" s="157" t="str">
        <x:v>L037487</x:v>
      </x:c>
      <x:c r="B9" s="165" t="n">
        <x:v>45231</x:v>
      </x:c>
      <x:c r="C9" s="157" t="str">
        <x:v>Financials</x:v>
      </x:c>
      <x:c r="D9" s="157" t="str">
        <x:v>term_loan</x:v>
      </x:c>
      <x:c r="E9" s="157" t="str">
        <x:v>secured</x:v>
      </x:c>
      <x:c r="F9" s="157" t="str">
        <x:v>BBB</x:v>
      </x:c>
      <x:c r="G9" s="157" t="n">
        <x:v>687</x:v>
      </x:c>
      <x:c r="H9" s="166" t="n">
        <x:v>137562747.81</x:v>
      </x:c>
      <x:c r="I9" s="162" t="n">
        <x:v>0.2712</x:v>
      </x:c>
      <x:c r="J9" s="162" t="n">
        <x:v>0.186626</x:v>
      </x:c>
      <x:c r="K9" s="157" t="str">
        <x:v>High</x:v>
      </x:c>
      <x:c r="L9" s="157" t="n">
        <x:v>3</x:v>
      </x:c>
      <x:c r="M9" s="157" t="str">
        <x:v>Manual Review</x:v>
      </x:c>
      <x:c r="N9" s="166" t="n">
        <x:v>6962459.39</x:v>
      </x:c>
      <x:c r="O9" s="157" t="n">
        <x:v>0</x:v>
      </x:c>
      <x:c r="P9" s="157" t="str">
        <x:v>test</x:v>
      </x:c>
    </x:row>
    <x:row r="10">
      <x:c r="A10" s="157" t="str">
        <x:v>L028259</x:v>
      </x:c>
      <x:c r="B10" s="165" t="n">
        <x:v>44986</x:v>
      </x:c>
      <x:c r="C10" s="157" t="str">
        <x:v>Industrials</x:v>
      </x:c>
      <x:c r="D10" s="157" t="str">
        <x:v>term_loan</x:v>
      </x:c>
      <x:c r="E10" s="157" t="str">
        <x:v>secured</x:v>
      </x:c>
      <x:c r="F10" s="157" t="str">
        <x:v>B</x:v>
      </x:c>
      <x:c r="G10" s="157" t="n">
        <x:v>666</x:v>
      </x:c>
      <x:c r="H10" s="166" t="n">
        <x:v>63661501.25</x:v>
      </x:c>
      <x:c r="I10" s="162" t="n">
        <x:v>0.3957</x:v>
      </x:c>
      <x:c r="J10" s="162" t="n">
        <x:v>0.252748</x:v>
      </x:c>
      <x:c r="K10" s="157" t="str">
        <x:v>High</x:v>
      </x:c>
      <x:c r="L10" s="157" t="n">
        <x:v>2</x:v>
      </x:c>
      <x:c r="M10" s="157" t="str">
        <x:v>Manual Review</x:v>
      </x:c>
      <x:c r="N10" s="166" t="n">
        <x:v>6366938.48</x:v>
      </x:c>
      <x:c r="O10" s="157" t="n">
        <x:v>1</x:v>
      </x:c>
      <x:c r="P10" s="157" t="str">
        <x:v>test</x:v>
      </x:c>
    </x:row>
    <x:row r="11">
      <x:c r="A11" s="157" t="str">
        <x:v>L040766</x:v>
      </x:c>
      <x:c r="B11" s="165" t="n">
        <x:v>44958</x:v>
      </x:c>
      <x:c r="C11" s="157" t="str">
        <x:v>Energy</x:v>
      </x:c>
      <x:c r="D11" s="157" t="str">
        <x:v>term_loan</x:v>
      </x:c>
      <x:c r="E11" s="157" t="str">
        <x:v>secured</x:v>
      </x:c>
      <x:c r="F11" s="157" t="str">
        <x:v>CCC</x:v>
      </x:c>
      <x:c r="G11" s="157" t="n">
        <x:v>704</x:v>
      </x:c>
      <x:c r="H11" s="166" t="n">
        <x:v>33227414.24</x:v>
      </x:c>
      <x:c r="I11" s="162" t="n">
        <x:v>0.5157</x:v>
      </x:c>
      <x:c r="J11" s="162" t="n">
        <x:v>0.371031</x:v>
      </x:c>
      <x:c r="K11" s="157" t="str">
        <x:v>Very High</x:v>
      </x:c>
      <x:c r="L11" s="157" t="n">
        <x:v>1</x:v>
      </x:c>
      <x:c r="M11" s="157" t="str">
        <x:v>Manual Review</x:v>
      </x:c>
      <x:c r="N11" s="166" t="n">
        <x:v>6357756.26</x:v>
      </x:c>
      <x:c r="O11" s="157" t="n">
        <x:v>1</x:v>
      </x:c>
      <x:c r="P11" s="157" t="str">
        <x:v>test</x:v>
      </x:c>
    </x:row>
    <x:row r="12">
      <x:c r="A12" s="157" t="str">
        <x:v>L006818</x:v>
      </x:c>
      <x:c r="B12" s="165" t="n">
        <x:v>45047</x:v>
      </x:c>
      <x:c r="C12" s="157" t="str">
        <x:v>Technology</x:v>
      </x:c>
      <x:c r="D12" s="157" t="str">
        <x:v>mortgage</x:v>
      </x:c>
      <x:c r="E12" s="157" t="str">
        <x:v>secured</x:v>
      </x:c>
      <x:c r="F12" s="157" t="str">
        <x:v>BB</x:v>
      </x:c>
      <x:c r="G12" s="157" t="n">
        <x:v>661</x:v>
      </x:c>
      <x:c r="H12" s="166" t="n">
        <x:v>53634919.05</x:v>
      </x:c>
      <x:c r="I12" s="162" t="n">
        <x:v>0.5314</x:v>
      </x:c>
      <x:c r="J12" s="162" t="n">
        <x:v>0.206881</x:v>
      </x:c>
      <x:c r="K12" s="157" t="str">
        <x:v>High</x:v>
      </x:c>
      <x:c r="L12" s="157" t="n">
        <x:v>2</x:v>
      </x:c>
      <x:c r="M12" s="157" t="str">
        <x:v>Manual Review</x:v>
      </x:c>
      <x:c r="N12" s="166" t="n">
        <x:v>5896438.68</x:v>
      </x:c>
      <x:c r="O12" s="157" t="n">
        <x:v>0</x:v>
      </x:c>
      <x:c r="P12" s="157" t="str">
        <x:v>test</x:v>
      </x:c>
    </x:row>
    <x:row r="13">
      <x:c r="A13" s="157" t="str">
        <x:v>L025791</x:v>
      </x:c>
      <x:c r="B13" s="165" t="n">
        <x:v>45231</x:v>
      </x:c>
      <x:c r="C13" s="157" t="str">
        <x:v>Real_Estate</x:v>
      </x:c>
      <x:c r="D13" s="157" t="str">
        <x:v>mortgage</x:v>
      </x:c>
      <x:c r="E13" s="157" t="str">
        <x:v>unsecured</x:v>
      </x:c>
      <x:c r="F13" s="157" t="str">
        <x:v>CCC</x:v>
      </x:c>
      <x:c r="G13" s="157" t="n">
        <x:v>596</x:v>
      </x:c>
      <x:c r="H13" s="166" t="n">
        <x:v>22691919.39</x:v>
      </x:c>
      <x:c r="I13" s="162" t="n">
        <x:v>0.5835</x:v>
      </x:c>
      <x:c r="J13" s="162" t="n">
        <x:v>0.438031</x:v>
      </x:c>
      <x:c r="K13" s="157" t="str">
        <x:v>Very High</x:v>
      </x:c>
      <x:c r="L13" s="157" t="n">
        <x:v>1</x:v>
      </x:c>
      <x:c r="M13" s="157" t="str">
        <x:v>Manual Review</x:v>
      </x:c>
      <x:c r="N13" s="166" t="n">
        <x:v>5799852.38</x:v>
      </x:c>
      <x:c r="O13" s="157" t="n">
        <x:v>0</x:v>
      </x:c>
      <x:c r="P13" s="157" t="str">
        <x:v>test</x:v>
      </x:c>
    </x:row>
    <x:row r="14">
      <x:c r="A14" s="157" t="str">
        <x:v>L009512</x:v>
      </x:c>
      <x:c r="B14" s="165" t="n">
        <x:v>45200</x:v>
      </x:c>
      <x:c r="C14" s="157" t="str">
        <x:v>Energy</x:v>
      </x:c>
      <x:c r="D14" s="157" t="str">
        <x:v>term_loan</x:v>
      </x:c>
      <x:c r="E14" s="157" t="str">
        <x:v>partially_secured</x:v>
      </x:c>
      <x:c r="F14" s="157" t="str">
        <x:v>B</x:v>
      </x:c>
      <x:c r="G14" s="157" t="n">
        <x:v>727</x:v>
      </x:c>
      <x:c r="H14" s="166" t="n">
        <x:v>43276455.52</x:v>
      </x:c>
      <x:c r="I14" s="162" t="n">
        <x:v>0.5647</x:v>
      </x:c>
      <x:c r="J14" s="162" t="n">
        <x:v>0.234165</x:v>
      </x:c>
      <x:c r="K14" s="157" t="str">
        <x:v>High</x:v>
      </x:c>
      <x:c r="L14" s="157" t="n">
        <x:v>2</x:v>
      </x:c>
      <x:c r="M14" s="157" t="str">
        <x:v>Manual Review</x:v>
      </x:c>
      <x:c r="N14" s="166" t="n">
        <x:v>5722574.48</x:v>
      </x:c>
      <x:c r="O14" s="157" t="n">
        <x:v>0</x:v>
      </x:c>
      <x:c r="P14" s="157" t="str">
        <x:v>test</x:v>
      </x:c>
    </x:row>
    <x:row r="15">
      <x:c r="A15" s="157" t="str">
        <x:v>L003616</x:v>
      </x:c>
      <x:c r="B15" s="165" t="n">
        <x:v>45170</x:v>
      </x:c>
      <x:c r="C15" s="157" t="str">
        <x:v>Telecom</x:v>
      </x:c>
      <x:c r="D15" s="157" t="str">
        <x:v>bond</x:v>
      </x:c>
      <x:c r="E15" s="157" t="str">
        <x:v>unsecured</x:v>
      </x:c>
      <x:c r="F15" s="157" t="str">
        <x:v>B</x:v>
      </x:c>
      <x:c r="G15" s="157" t="n">
        <x:v>684</x:v>
      </x:c>
      <x:c r="H15" s="166" t="n">
        <x:v>33526209.65</x:v>
      </x:c>
      <x:c r="I15" s="162" t="n">
        <x:v>0.6883</x:v>
      </x:c>
      <x:c r="J15" s="162" t="n">
        <x:v>0.247353</x:v>
      </x:c>
      <x:c r="K15" s="157" t="str">
        <x:v>High</x:v>
      </x:c>
      <x:c r="L15" s="157" t="n">
        <x:v>2</x:v>
      </x:c>
      <x:c r="M15" s="157" t="str">
        <x:v>Manual Review</x:v>
      </x:c>
      <x:c r="N15" s="166" t="n">
        <x:v>5707940.12</x:v>
      </x:c>
      <x:c r="O15" s="157" t="n">
        <x:v>0</x:v>
      </x:c>
      <x:c r="P15" s="157" t="str">
        <x:v>test</x:v>
      </x:c>
    </x:row>
    <x:row r="16">
      <x:c r="A16" s="157" t="str">
        <x:v>L021044</x:v>
      </x:c>
      <x:c r="B16" s="165" t="n">
        <x:v>45139</x:v>
      </x:c>
      <x:c r="C16" s="157" t="str">
        <x:v>Energy</x:v>
      </x:c>
      <x:c r="D16" s="157" t="str">
        <x:v>term_loan</x:v>
      </x:c>
      <x:c r="E16" s="157" t="str">
        <x:v>secured</x:v>
      </x:c>
      <x:c r="F16" s="157" t="str">
        <x:v>BB</x:v>
      </x:c>
      <x:c r="G16" s="157" t="n">
        <x:v>697</x:v>
      </x:c>
      <x:c r="H16" s="166" t="n">
        <x:v>95488851.32</x:v>
      </x:c>
      <x:c r="I16" s="162" t="n">
        <x:v>0.2994</x:v>
      </x:c>
      <x:c r="J16" s="162" t="n">
        <x:v>0.188034</x:v>
      </x:c>
      <x:c r="K16" s="157" t="str">
        <x:v>High</x:v>
      </x:c>
      <x:c r="L16" s="157" t="n">
        <x:v>3</x:v>
      </x:c>
      <x:c r="M16" s="157" t="str">
        <x:v>Manual Review</x:v>
      </x:c>
      <x:c r="N16" s="166" t="n">
        <x:v>5375772.11</x:v>
      </x:c>
      <x:c r="O16" s="157" t="n">
        <x:v>0</x:v>
      </x:c>
      <x:c r="P16" s="157" t="str">
        <x:v>test</x:v>
      </x:c>
    </x:row>
    <x:row r="17">
      <x:c r="A17" s="157" t="str">
        <x:v>L027144</x:v>
      </x:c>
      <x:c r="B17" s="165" t="n">
        <x:v>44593</x:v>
      </x:c>
      <x:c r="C17" s="157" t="str">
        <x:v>Real_Estate</x:v>
      </x:c>
      <x:c r="D17" s="157" t="str">
        <x:v>revolving</x:v>
      </x:c>
      <x:c r="E17" s="157" t="str">
        <x:v>partially_secured</x:v>
      </x:c>
      <x:c r="F17" s="157" t="str">
        <x:v>CCC</x:v>
      </x:c>
      <x:c r="G17" s="157" t="n">
        <x:v>624</x:v>
      </x:c>
      <x:c r="H17" s="166" t="n">
        <x:v>29792080.02</x:v>
      </x:c>
      <x:c r="I17" s="162" t="n">
        <x:v>0.4958</x:v>
      </x:c>
      <x:c r="J17" s="162" t="n">
        <x:v>0.36364</x:v>
      </x:c>
      <x:c r="K17" s="157" t="str">
        <x:v>Very High</x:v>
      </x:c>
      <x:c r="L17" s="157" t="n">
        <x:v>1</x:v>
      </x:c>
      <x:c r="M17" s="157" t="str">
        <x:v>Manual Review</x:v>
      </x:c>
      <x:c r="N17" s="166" t="n">
        <x:v>5371294.9</x:v>
      </x:c>
      <x:c r="O17" s="157" t="n">
        <x:v>0</x:v>
      </x:c>
      <x:c r="P17" s="157" t="str">
        <x:v>test</x:v>
      </x:c>
    </x:row>
    <x:row r="18">
      <x:c r="A18" s="157" t="str">
        <x:v>L006139</x:v>
      </x:c>
      <x:c r="B18" s="165" t="n">
        <x:v>44896</x:v>
      </x:c>
      <x:c r="C18" s="157" t="str">
        <x:v>Energy</x:v>
      </x:c>
      <x:c r="D18" s="157" t="str">
        <x:v>mortgage</x:v>
      </x:c>
      <x:c r="E18" s="157" t="str">
        <x:v>unsecured</x:v>
      </x:c>
      <x:c r="F18" s="157" t="str">
        <x:v>B</x:v>
      </x:c>
      <x:c r="G18" s="157" t="n">
        <x:v>690</x:v>
      </x:c>
      <x:c r="H18" s="166" t="n">
        <x:v>41988076.19</x:v>
      </x:c>
      <x:c r="I18" s="162" t="n">
        <x:v>0.6011</x:v>
      </x:c>
      <x:c r="J18" s="162" t="n">
        <x:v>0.198249</x:v>
      </x:c>
      <x:c r="K18" s="157" t="str">
        <x:v>High</x:v>
      </x:c>
      <x:c r="L18" s="157" t="n">
        <x:v>3</x:v>
      </x:c>
      <x:c r="M18" s="157" t="str">
        <x:v>Manual Review</x:v>
      </x:c>
      <x:c r="N18" s="166" t="n">
        <x:v>5003612.97</x:v>
      </x:c>
      <x:c r="O18" s="157" t="n">
        <x:v>0</x:v>
      </x:c>
      <x:c r="P18" s="157" t="str">
        <x:v>test</x:v>
      </x:c>
    </x:row>
    <x:row r="19">
      <x:c r="A19" s="157" t="str">
        <x:v>L026777</x:v>
      </x:c>
      <x:c r="B19" s="165" t="n">
        <x:v>45078</x:v>
      </x:c>
      <x:c r="C19" s="157" t="str">
        <x:v>Energy</x:v>
      </x:c>
      <x:c r="D19" s="157" t="str">
        <x:v>term_loan</x:v>
      </x:c>
      <x:c r="E19" s="157" t="str">
        <x:v>unsecured</x:v>
      </x:c>
      <x:c r="F19" s="157" t="str">
        <x:v>B</x:v>
      </x:c>
      <x:c r="G19" s="157" t="n">
        <x:v>741</x:v>
      </x:c>
      <x:c r="H19" s="166" t="n">
        <x:v>32747621.82</x:v>
      </x:c>
      <x:c r="I19" s="162" t="n">
        <x:v>0.6517</x:v>
      </x:c>
      <x:c r="J19" s="162" t="n">
        <x:v>0.229738</x:v>
      </x:c>
      <x:c r="K19" s="157" t="str">
        <x:v>High</x:v>
      </x:c>
      <x:c r="L19" s="157" t="n">
        <x:v>2</x:v>
      </x:c>
      <x:c r="M19" s="157" t="str">
        <x:v>Manual Review</x:v>
      </x:c>
      <x:c r="N19" s="166" t="n">
        <x:v>4902982.28</x:v>
      </x:c>
      <x:c r="O19" s="157" t="n">
        <x:v>0</x:v>
      </x:c>
      <x:c r="P19" s="157" t="str">
        <x:v>test</x:v>
      </x:c>
    </x:row>
    <x:row r="20">
      <x:c r="A20" s="157" t="str">
        <x:v>L032528</x:v>
      </x:c>
      <x:c r="B20" s="165" t="n">
        <x:v>44652</x:v>
      </x:c>
      <x:c r="C20" s="157" t="str">
        <x:v>Energy</x:v>
      </x:c>
      <x:c r="D20" s="157" t="str">
        <x:v>bond</x:v>
      </x:c>
      <x:c r="E20" s="157" t="str">
        <x:v>secured</x:v>
      </x:c>
      <x:c r="F20" s="157" t="str">
        <x:v>B</x:v>
      </x:c>
      <x:c r="G20" s="157" t="n">
        <x:v>658</x:v>
      </x:c>
      <x:c r="H20" s="166" t="n">
        <x:v>29837110.69</x:v>
      </x:c>
      <x:c r="I20" s="162" t="n">
        <x:v>0.5676</x:v>
      </x:c>
      <x:c r="J20" s="162" t="n">
        <x:v>0.271551</x:v>
      </x:c>
      <x:c r="K20" s="157" t="str">
        <x:v>High</x:v>
      </x:c>
      <x:c r="L20" s="157" t="n">
        <x:v>1</x:v>
      </x:c>
      <x:c r="M20" s="157" t="str">
        <x:v>Manual Review</x:v>
      </x:c>
      <x:c r="N20" s="166" t="n">
        <x:v>4598863.92</x:v>
      </x:c>
      <x:c r="O20" s="157" t="n">
        <x:v>0</x:v>
      </x:c>
      <x:c r="P20" s="157" t="str">
        <x:v>test</x:v>
      </x:c>
    </x:row>
    <x:row r="21">
      <x:c r="A21" s="157" t="str">
        <x:v>L004841</x:v>
      </x:c>
      <x:c r="B21" s="165" t="n">
        <x:v>44652</x:v>
      </x:c>
      <x:c r="C21" s="157" t="str">
        <x:v>Energy</x:v>
      </x:c>
      <x:c r="D21" s="157" t="str">
        <x:v>bond</x:v>
      </x:c>
      <x:c r="E21" s="157" t="str">
        <x:v>secured</x:v>
      </x:c>
      <x:c r="F21" s="157" t="str">
        <x:v>CCC</x:v>
      </x:c>
      <x:c r="G21" s="157" t="n">
        <x:v>614</x:v>
      </x:c>
      <x:c r="H21" s="166" t="n">
        <x:v>27804782.06</x:v>
      </x:c>
      <x:c r="I21" s="162" t="n">
        <x:v>0.4202</x:v>
      </x:c>
      <x:c r="J21" s="162" t="n">
        <x:v>0.391027</x:v>
      </x:c>
      <x:c r="K21" s="157" t="str">
        <x:v>Very High</x:v>
      </x:c>
      <x:c r="L21" s="157" t="n">
        <x:v>1</x:v>
      </x:c>
      <x:c r="M21" s="157" t="str">
        <x:v>Manual Review</x:v>
      </x:c>
      <x:c r="N21" s="166" t="n">
        <x:v>4568591.1</x:v>
      </x:c>
      <x:c r="O21" s="157" t="n">
        <x:v>1</x:v>
      </x:c>
      <x:c r="P21" s="157" t="str">
        <x:v>test</x:v>
      </x:c>
    </x:row>
    <x:row r="22">
      <x:c r="A22" s="157" t="str">
        <x:v>L047938</x:v>
      </x:c>
      <x:c r="B22" s="165" t="n">
        <x:v>45017</x:v>
      </x:c>
      <x:c r="C22" s="157" t="str">
        <x:v>Financials</x:v>
      </x:c>
      <x:c r="D22" s="157" t="str">
        <x:v>revolving</x:v>
      </x:c>
      <x:c r="E22" s="157" t="str">
        <x:v>unsecured</x:v>
      </x:c>
      <x:c r="F22" s="157" t="str">
        <x:v>CCC</x:v>
      </x:c>
      <x:c r="G22" s="157" t="n">
        <x:v>620</x:v>
      </x:c>
      <x:c r="H22" s="166" t="n">
        <x:v>16665337.86</x:v>
      </x:c>
      <x:c r="I22" s="162" t="n">
        <x:v>0.6383</x:v>
      </x:c>
      <x:c r="J22" s="162" t="n">
        <x:v>0.419301</x:v>
      </x:c>
      <x:c r="K22" s="157" t="str">
        <x:v>Very High</x:v>
      </x:c>
      <x:c r="L22" s="157" t="n">
        <x:v>1</x:v>
      </x:c>
      <x:c r="M22" s="157" t="str">
        <x:v>Manual Review</x:v>
      </x:c>
      <x:c r="N22" s="166" t="n">
        <x:v>4460308.16</x:v>
      </x:c>
      <x:c r="O22" s="157" t="n">
        <x:v>1</x:v>
      </x:c>
      <x:c r="P22" s="157" t="str">
        <x:v>test</x:v>
      </x:c>
    </x:row>
    <x:row r="23">
      <x:c r="A23" s="157" t="str">
        <x:v>L001115</x:v>
      </x:c>
      <x:c r="B23" s="165" t="n">
        <x:v>44774</x:v>
      </x:c>
      <x:c r="C23" s="157" t="str">
        <x:v>Energy</x:v>
      </x:c>
      <x:c r="D23" s="157" t="str">
        <x:v>term_loan</x:v>
      </x:c>
      <x:c r="E23" s="157" t="str">
        <x:v>unsecured</x:v>
      </x:c>
      <x:c r="F23" s="157" t="str">
        <x:v>CCC</x:v>
      </x:c>
      <x:c r="G23" s="157" t="n">
        <x:v>654</x:v>
      </x:c>
      <x:c r="H23" s="166" t="n">
        <x:v>19532100.43</x:v>
      </x:c>
      <x:c r="I23" s="162" t="n">
        <x:v>0.5974</x:v>
      </x:c>
      <x:c r="J23" s="162" t="n">
        <x:v>0.381547</x:v>
      </x:c>
      <x:c r="K23" s="157" t="str">
        <x:v>Very High</x:v>
      </x:c>
      <x:c r="L23" s="157" t="n">
        <x:v>1</x:v>
      </x:c>
      <x:c r="M23" s="157" t="str">
        <x:v>Manual Review</x:v>
      </x:c>
      <x:c r="N23" s="166" t="n">
        <x:v>4452072.32</x:v>
      </x:c>
      <x:c r="O23" s="157" t="n">
        <x:v>0</x:v>
      </x:c>
      <x:c r="P23" s="157" t="str">
        <x:v>test</x:v>
      </x:c>
    </x:row>
    <x:row r="24">
      <x:c r="A24" s="157" t="str">
        <x:v>L038577</x:v>
      </x:c>
      <x:c r="B24" s="165" t="n">
        <x:v>45078</x:v>
      </x:c>
      <x:c r="C24" s="157" t="str">
        <x:v>Technology</x:v>
      </x:c>
      <x:c r="D24" s="157" t="str">
        <x:v>term_loan</x:v>
      </x:c>
      <x:c r="E24" s="157" t="str">
        <x:v>secured</x:v>
      </x:c>
      <x:c r="F24" s="157" t="str">
        <x:v>CCC</x:v>
      </x:c>
      <x:c r="G24" s="157" t="n">
        <x:v>668</x:v>
      </x:c>
      <x:c r="H24" s="166" t="n">
        <x:v>28307633.25</x:v>
      </x:c>
      <x:c r="I24" s="162" t="n">
        <x:v>0.4685</x:v>
      </x:c>
      <x:c r="J24" s="162" t="n">
        <x:v>0.331958</x:v>
      </x:c>
      <x:c r="K24" s="157" t="str">
        <x:v>Very High</x:v>
      </x:c>
      <x:c r="L24" s="157" t="n">
        <x:v>1</x:v>
      </x:c>
      <x:c r="M24" s="157" t="str">
        <x:v>Manual Review</x:v>
      </x:c>
      <x:c r="N24" s="166" t="n">
        <x:v>4402468.88</x:v>
      </x:c>
      <x:c r="O24" s="157" t="n">
        <x:v>0</x:v>
      </x:c>
      <x:c r="P24" s="157" t="str">
        <x:v>test</x:v>
      </x:c>
    </x:row>
    <x:row r="25">
      <x:c r="A25" s="157" t="str">
        <x:v>L032195</x:v>
      </x:c>
      <x:c r="B25" s="165" t="n">
        <x:v>45047</x:v>
      </x:c>
      <x:c r="C25" s="157" t="str">
        <x:v>Technology</x:v>
      </x:c>
      <x:c r="D25" s="157" t="str">
        <x:v>revolving</x:v>
      </x:c>
      <x:c r="E25" s="157" t="str">
        <x:v>secured</x:v>
      </x:c>
      <x:c r="F25" s="157" t="str">
        <x:v>CCC</x:v>
      </x:c>
      <x:c r="G25" s="157" t="n">
        <x:v>671</x:v>
      </x:c>
      <x:c r="H25" s="166" t="n">
        <x:v>17532444.33</x:v>
      </x:c>
      <x:c r="I25" s="162" t="n">
        <x:v>0.6077</x:v>
      </x:c>
      <x:c r="J25" s="162" t="n">
        <x:v>0.413194</x:v>
      </x:c>
      <x:c r="K25" s="157" t="str">
        <x:v>Very High</x:v>
      </x:c>
      <x:c r="L25" s="157" t="n">
        <x:v>1</x:v>
      </x:c>
      <x:c r="M25" s="157" t="str">
        <x:v>Manual Review</x:v>
      </x:c>
      <x:c r="N25" s="166" t="n">
        <x:v>4402361.6</x:v>
      </x:c>
      <x:c r="O25" s="157" t="n">
        <x:v>1</x:v>
      </x:c>
      <x:c r="P25" s="157" t="str">
        <x:v>test</x:v>
      </x:c>
    </x:row>
    <x:row r="26">
      <x:c r="A26" s="157" t="str">
        <x:v>L046754</x:v>
      </x:c>
      <x:c r="B26" s="165" t="n">
        <x:v>45200</x:v>
      </x:c>
      <x:c r="C26" s="157" t="str">
        <x:v>Healthcare</x:v>
      </x:c>
      <x:c r="D26" s="157" t="str">
        <x:v>term_loan</x:v>
      </x:c>
      <x:c r="E26" s="157" t="str">
        <x:v>unsecured</x:v>
      </x:c>
      <x:c r="F26" s="157" t="str">
        <x:v>BBB</x:v>
      </x:c>
      <x:c r="G26" s="157" t="n">
        <x:v>729</x:v>
      </x:c>
      <x:c r="H26" s="166" t="n">
        <x:v>38554427.27</x:v>
      </x:c>
      <x:c r="I26" s="162" t="n">
        <x:v>0.6513</x:v>
      </x:c>
      <x:c r="J26" s="162" t="n">
        <x:v>0.173706</x:v>
      </x:c>
      <x:c r="K26" s="157" t="str">
        <x:v>High</x:v>
      </x:c>
      <x:c r="L26" s="157" t="n">
        <x:v>4</x:v>
      </x:c>
      <x:c r="M26" s="157" t="str">
        <x:v>Manual Review</x:v>
      </x:c>
      <x:c r="N26" s="166" t="n">
        <x:v>4361844.25</x:v>
      </x:c>
      <x:c r="O26" s="157" t="n">
        <x:v>0</x:v>
      </x:c>
      <x:c r="P26" s="157" t="str">
        <x:v>test</x:v>
      </x:c>
    </x:row>
    <x:row r="27">
      <x:c r="A27" s="157" t="str">
        <x:v>L040361</x:v>
      </x:c>
      <x:c r="B27" s="165" t="n">
        <x:v>45078</x:v>
      </x:c>
      <x:c r="C27" s="157" t="str">
        <x:v>Financials</x:v>
      </x:c>
      <x:c r="D27" s="157" t="str">
        <x:v>revolving</x:v>
      </x:c>
      <x:c r="E27" s="157" t="str">
        <x:v>unsecured</x:v>
      </x:c>
      <x:c r="F27" s="157" t="str">
        <x:v>B</x:v>
      </x:c>
      <x:c r="G27" s="157" t="n">
        <x:v>679</x:v>
      </x:c>
      <x:c r="H27" s="166" t="n">
        <x:v>37399464.23</x:v>
      </x:c>
      <x:c r="I27" s="162" t="n">
        <x:v>0.517</x:v>
      </x:c>
      <x:c r="J27" s="162" t="n">
        <x:v>0.221171</x:v>
      </x:c>
      <x:c r="K27" s="157" t="str">
        <x:v>High</x:v>
      </x:c>
      <x:c r="L27" s="157" t="n">
        <x:v>2</x:v>
      </x:c>
      <x:c r="M27" s="157" t="str">
        <x:v>Manual Review</x:v>
      </x:c>
      <x:c r="N27" s="166" t="n">
        <x:v>4276456.96</x:v>
      </x:c>
      <x:c r="O27" s="157" t="n">
        <x:v>0</x:v>
      </x:c>
      <x:c r="P27" s="157" t="str">
        <x:v>test</x:v>
      </x:c>
    </x:row>
    <x:row r="28">
      <x:c r="A28" s="157" t="str">
        <x:v>L039725</x:v>
      </x:c>
      <x:c r="B28" s="165" t="n">
        <x:v>45261</x:v>
      </x:c>
      <x:c r="C28" s="157" t="str">
        <x:v>Financials</x:v>
      </x:c>
      <x:c r="D28" s="157" t="str">
        <x:v>term_loan</x:v>
      </x:c>
      <x:c r="E28" s="157" t="str">
        <x:v>secured</x:v>
      </x:c>
      <x:c r="F28" s="157" t="str">
        <x:v>AA</x:v>
      </x:c>
      <x:c r="G28" s="157" t="n">
        <x:v>701</x:v>
      </x:c>
      <x:c r="H28" s="166" t="n">
        <x:v>40391715.59</x:v>
      </x:c>
      <x:c r="I28" s="162" t="n">
        <x:v>0.574</x:v>
      </x:c>
      <x:c r="J28" s="162" t="n">
        <x:v>0.181583</x:v>
      </x:c>
      <x:c r="K28" s="157" t="str">
        <x:v>High</x:v>
      </x:c>
      <x:c r="L28" s="157" t="n">
        <x:v>3</x:v>
      </x:c>
      <x:c r="M28" s="157" t="str">
        <x:v>Manual Review</x:v>
      </x:c>
      <x:c r="N28" s="166" t="n">
        <x:v>4209973.66</x:v>
      </x:c>
      <x:c r="O28" s="157" t="n">
        <x:v>0</x:v>
      </x:c>
      <x:c r="P28" s="157" t="str">
        <x:v>test</x:v>
      </x:c>
    </x:row>
    <x:row r="29">
      <x:c r="A29" s="157" t="str">
        <x:v>L000709</x:v>
      </x:c>
      <x:c r="B29" s="165" t="n">
        <x:v>45231</x:v>
      </x:c>
      <x:c r="C29" s="157" t="str">
        <x:v>Consumer</x:v>
      </x:c>
      <x:c r="D29" s="157" t="str">
        <x:v>term_loan</x:v>
      </x:c>
      <x:c r="E29" s="157" t="str">
        <x:v>unsecured</x:v>
      </x:c>
      <x:c r="F29" s="157" t="str">
        <x:v>CCC</x:v>
      </x:c>
      <x:c r="G29" s="157" t="n">
        <x:v>640</x:v>
      </x:c>
      <x:c r="H29" s="166" t="n">
        <x:v>15011544.39</x:v>
      </x:c>
      <x:c r="I29" s="162" t="n">
        <x:v>0.6827</x:v>
      </x:c>
      <x:c r="J29" s="162" t="n">
        <x:v>0.400607</x:v>
      </x:c>
      <x:c r="K29" s="157" t="str">
        <x:v>Very High</x:v>
      </x:c>
      <x:c r="L29" s="157" t="n">
        <x:v>1</x:v>
      </x:c>
      <x:c r="M29" s="157" t="str">
        <x:v>Manual Review</x:v>
      </x:c>
      <x:c r="N29" s="166" t="n">
        <x:v>4105573.31</x:v>
      </x:c>
      <x:c r="O29" s="157" t="n">
        <x:v>1</x:v>
      </x:c>
      <x:c r="P29" s="157" t="str">
        <x:v>test</x:v>
      </x:c>
    </x:row>
    <x:row r="30">
      <x:c r="A30" s="157" t="str">
        <x:v>L025593</x:v>
      </x:c>
      <x:c r="B30" s="165" t="n">
        <x:v>44593</x:v>
      </x:c>
      <x:c r="C30" s="157" t="str">
        <x:v>Financials</x:v>
      </x:c>
      <x:c r="D30" s="157" t="str">
        <x:v>term_loan</x:v>
      </x:c>
      <x:c r="E30" s="157" t="str">
        <x:v>secured</x:v>
      </x:c>
      <x:c r="F30" s="157" t="str">
        <x:v>CCC</x:v>
      </x:c>
      <x:c r="G30" s="157" t="n">
        <x:v>648</x:v>
      </x:c>
      <x:c r="H30" s="166" t="n">
        <x:v>19221537</x:v>
      </x:c>
      <x:c r="I30" s="162" t="n">
        <x:v>0.5319</x:v>
      </x:c>
      <x:c r="J30" s="162" t="n">
        <x:v>0.399256</x:v>
      </x:c>
      <x:c r="K30" s="157" t="str">
        <x:v>Very High</x:v>
      </x:c>
      <x:c r="L30" s="157" t="n">
        <x:v>1</x:v>
      </x:c>
      <x:c r="M30" s="157" t="str">
        <x:v>Manual Review</x:v>
      </x:c>
      <x:c r="N30" s="166" t="n">
        <x:v>4081967.6</x:v>
      </x:c>
      <x:c r="O30" s="157" t="n">
        <x:v>1</x:v>
      </x:c>
      <x:c r="P30" s="157" t="str">
        <x:v>test</x:v>
      </x:c>
    </x:row>
    <x:row r="31">
      <x:c r="A31" s="157" t="str">
        <x:v>L029986</x:v>
      </x:c>
      <x:c r="B31" s="165" t="n">
        <x:v>44652</x:v>
      </x:c>
      <x:c r="C31" s="157" t="str">
        <x:v>Real_Estate</x:v>
      </x:c>
      <x:c r="D31" s="157" t="str">
        <x:v>term_loan</x:v>
      </x:c>
      <x:c r="E31" s="157" t="str">
        <x:v>secured</x:v>
      </x:c>
      <x:c r="F31" s="157" t="str">
        <x:v>CCC</x:v>
      </x:c>
      <x:c r="G31" s="157" t="n">
        <x:v>585</x:v>
      </x:c>
      <x:c r="H31" s="166" t="n">
        <x:v>26104333.62</x:v>
      </x:c>
      <x:c r="I31" s="162" t="n">
        <x:v>0.3844</x:v>
      </x:c>
      <x:c r="J31" s="162" t="n">
        <x:v>0.405317</x:v>
      </x:c>
      <x:c r="K31" s="157" t="str">
        <x:v>Very High</x:v>
      </x:c>
      <x:c r="L31" s="157" t="n">
        <x:v>1</x:v>
      </x:c>
      <x:c r="M31" s="157" t="str">
        <x:v>Manual Review</x:v>
      </x:c>
      <x:c r="N31" s="166" t="n">
        <x:v>4067155.8</x:v>
      </x:c>
      <x:c r="O31" s="157" t="n">
        <x:v>0</x:v>
      </x:c>
      <x:c r="P31" s="157" t="str">
        <x:v>test</x:v>
      </x:c>
    </x:row>
    <x:row r="32">
      <x:c r="A32" s="157" t="str">
        <x:v>L017419</x:v>
      </x:c>
      <x:c r="B32" s="165" t="n">
        <x:v>44927</x:v>
      </x:c>
      <x:c r="C32" s="157" t="str">
        <x:v>Industrials</x:v>
      </x:c>
      <x:c r="D32" s="157" t="str">
        <x:v>mortgage</x:v>
      </x:c>
      <x:c r="E32" s="157" t="str">
        <x:v>partially_secured</x:v>
      </x:c>
      <x:c r="F32" s="157" t="str">
        <x:v>B</x:v>
      </x:c>
      <x:c r="G32" s="157" t="n">
        <x:v>662</x:v>
      </x:c>
      <x:c r="H32" s="166" t="n">
        <x:v>29379858.93</x:v>
      </x:c>
      <x:c r="I32" s="162" t="n">
        <x:v>0.5443</x:v>
      </x:c>
      <x:c r="J32" s="162" t="n">
        <x:v>0.25337</x:v>
      </x:c>
      <x:c r="K32" s="157" t="str">
        <x:v>High</x:v>
      </x:c>
      <x:c r="L32" s="157" t="n">
        <x:v>2</x:v>
      </x:c>
      <x:c r="M32" s="157" t="str">
        <x:v>Manual Review</x:v>
      </x:c>
      <x:c r="N32" s="166" t="n">
        <x:v>4051755.51</x:v>
      </x:c>
      <x:c r="O32" s="157" t="n">
        <x:v>0</x:v>
      </x:c>
      <x:c r="P32" s="157" t="str">
        <x:v>test</x:v>
      </x:c>
    </x:row>
    <x:row r="33">
      <x:c r="A33" s="157" t="str">
        <x:v>L021144</x:v>
      </x:c>
      <x:c r="B33" s="165" t="n">
        <x:v>45139</x:v>
      </x:c>
      <x:c r="C33" s="157" t="str">
        <x:v>Industrials</x:v>
      </x:c>
      <x:c r="D33" s="157" t="str">
        <x:v>mortgage</x:v>
      </x:c>
      <x:c r="E33" s="157" t="str">
        <x:v>partially_secured</x:v>
      </x:c>
      <x:c r="F33" s="157" t="str">
        <x:v>CCC</x:v>
      </x:c>
      <x:c r="G33" s="157" t="n">
        <x:v>645</x:v>
      </x:c>
      <x:c r="H33" s="166" t="n">
        <x:v>15568376.47</x:v>
      </x:c>
      <x:c r="I33" s="162" t="n">
        <x:v>0.59</x:v>
      </x:c>
      <x:c r="J33" s="162" t="n">
        <x:v>0.438694</x:v>
      </x:c>
      <x:c r="K33" s="157" t="str">
        <x:v>Very High</x:v>
      </x:c>
      <x:c r="L33" s="157" t="n">
        <x:v>1</x:v>
      </x:c>
      <x:c r="M33" s="157" t="str">
        <x:v>Manual Review</x:v>
      </x:c>
      <x:c r="N33" s="166" t="n">
        <x:v>4029554.47</x:v>
      </x:c>
      <x:c r="O33" s="157" t="n">
        <x:v>0</x:v>
      </x:c>
      <x:c r="P33" s="157" t="str">
        <x:v>test</x:v>
      </x:c>
    </x:row>
    <x:row r="34">
      <x:c r="A34" s="157" t="str">
        <x:v>L047285</x:v>
      </x:c>
      <x:c r="B34" s="165" t="n">
        <x:v>45078</x:v>
      </x:c>
      <x:c r="C34" s="157" t="str">
        <x:v>Utilities</x:v>
      </x:c>
      <x:c r="D34" s="157" t="str">
        <x:v>lease</x:v>
      </x:c>
      <x:c r="E34" s="157" t="str">
        <x:v>partially_secured</x:v>
      </x:c>
      <x:c r="F34" s="157" t="str">
        <x:v>B</x:v>
      </x:c>
      <x:c r="G34" s="157" t="n">
        <x:v>679</x:v>
      </x:c>
      <x:c r="H34" s="166" t="n">
        <x:v>36256535.44</x:v>
      </x:c>
      <x:c r="I34" s="162" t="n">
        <x:v>0.4714</x:v>
      </x:c>
      <x:c r="J34" s="162" t="n">
        <x:v>0.234862</x:v>
      </x:c>
      <x:c r="K34" s="157" t="str">
        <x:v>High</x:v>
      </x:c>
      <x:c r="L34" s="157" t="n">
        <x:v>2</x:v>
      </x:c>
      <x:c r="M34" s="157" t="str">
        <x:v>Manual Review</x:v>
      </x:c>
      <x:c r="N34" s="166" t="n">
        <x:v>4014104.14</x:v>
      </x:c>
      <x:c r="O34" s="157" t="n">
        <x:v>0</x:v>
      </x:c>
      <x:c r="P34" s="157" t="str">
        <x:v>test</x:v>
      </x:c>
    </x:row>
    <x:row r="35">
      <x:c r="A35" s="157" t="str">
        <x:v>L008087</x:v>
      </x:c>
      <x:c r="B35" s="165" t="n">
        <x:v>45078</x:v>
      </x:c>
      <x:c r="C35" s="157" t="str">
        <x:v>Financials</x:v>
      </x:c>
      <x:c r="D35" s="157" t="str">
        <x:v>mortgage</x:v>
      </x:c>
      <x:c r="E35" s="157" t="str">
        <x:v>unsecured</x:v>
      </x:c>
      <x:c r="F35" s="157" t="str">
        <x:v>B</x:v>
      </x:c>
      <x:c r="G35" s="157" t="n">
        <x:v>636</x:v>
      </x:c>
      <x:c r="H35" s="166" t="n">
        <x:v>19995642.89</x:v>
      </x:c>
      <x:c r="I35" s="162" t="n">
        <x:v>0.7767</x:v>
      </x:c>
      <x:c r="J35" s="162" t="n">
        <x:v>0.258164</x:v>
      </x:c>
      <x:c r="K35" s="157" t="str">
        <x:v>High</x:v>
      </x:c>
      <x:c r="L35" s="157" t="n">
        <x:v>2</x:v>
      </x:c>
      <x:c r="M35" s="157" t="str">
        <x:v>Manual Review</x:v>
      </x:c>
      <x:c r="N35" s="166" t="n">
        <x:v>4009445.91</x:v>
      </x:c>
      <x:c r="O35" s="157" t="n">
        <x:v>0</x:v>
      </x:c>
      <x:c r="P35" s="157" t="str">
        <x:v>test</x:v>
      </x:c>
    </x:row>
    <x:row r="36">
      <x:c r="A36" s="157" t="str">
        <x:v>L005432</x:v>
      </x:c>
      <x:c r="B36" s="165" t="n">
        <x:v>45017</x:v>
      </x:c>
      <x:c r="C36" s="157" t="str">
        <x:v>Financials</x:v>
      </x:c>
      <x:c r="D36" s="157" t="str">
        <x:v>term_loan</x:v>
      </x:c>
      <x:c r="E36" s="157" t="str">
        <x:v>partially_secured</x:v>
      </x:c>
      <x:c r="F36" s="157" t="str">
        <x:v>CCC</x:v>
      </x:c>
      <x:c r="G36" s="157" t="n">
        <x:v>684</x:v>
      </x:c>
      <x:c r="H36" s="166" t="n">
        <x:v>16073032.78</x:v>
      </x:c>
      <x:c r="I36" s="162" t="n">
        <x:v>0.5791</x:v>
      </x:c>
      <x:c r="J36" s="162" t="n">
        <x:v>0.414287</x:v>
      </x:c>
      <x:c r="K36" s="157" t="str">
        <x:v>Very High</x:v>
      </x:c>
      <x:c r="L36" s="157" t="n">
        <x:v>1</x:v>
      </x:c>
      <x:c r="M36" s="157" t="str">
        <x:v>Manual Review</x:v>
      </x:c>
      <x:c r="N36" s="166" t="n">
        <x:v>3856139.18</x:v>
      </x:c>
      <x:c r="O36" s="157" t="n">
        <x:v>0</x:v>
      </x:c>
      <x:c r="P36" s="157" t="str">
        <x:v>test</x:v>
      </x:c>
    </x:row>
    <x:row r="37">
      <x:c r="A37" s="157" t="str">
        <x:v>L039379</x:v>
      </x:c>
      <x:c r="B37" s="165" t="n">
        <x:v>44866</x:v>
      </x:c>
      <x:c r="C37" s="157" t="str">
        <x:v>Telecom</x:v>
      </x:c>
      <x:c r="D37" s="157" t="str">
        <x:v>bond</x:v>
      </x:c>
      <x:c r="E37" s="157" t="str">
        <x:v>unsecured</x:v>
      </x:c>
      <x:c r="F37" s="157" t="str">
        <x:v>CCC</x:v>
      </x:c>
      <x:c r="G37" s="157" t="n">
        <x:v>668</x:v>
      </x:c>
      <x:c r="H37" s="166" t="n">
        <x:v>12821433.39</x:v>
      </x:c>
      <x:c r="I37" s="162" t="n">
        <x:v>0.7045</x:v>
      </x:c>
      <x:c r="J37" s="162" t="n">
        <x:v>0.421689</x:v>
      </x:c>
      <x:c r="K37" s="157" t="str">
        <x:v>Very High</x:v>
      </x:c>
      <x:c r="L37" s="157" t="n">
        <x:v>1</x:v>
      </x:c>
      <x:c r="M37" s="157" t="str">
        <x:v>Manual Review</x:v>
      </x:c>
      <x:c r="N37" s="166" t="n">
        <x:v>3808990.16</x:v>
      </x:c>
      <x:c r="O37" s="157" t="n">
        <x:v>0</x:v>
      </x:c>
      <x:c r="P37" s="157" t="str">
        <x:v>test</x:v>
      </x:c>
    </x:row>
    <x:row r="38">
      <x:c r="A38" s="157" t="str">
        <x:v>L031358</x:v>
      </x:c>
      <x:c r="B38" s="165" t="n">
        <x:v>45200</x:v>
      </x:c>
      <x:c r="C38" s="157" t="str">
        <x:v>Industrials</x:v>
      </x:c>
      <x:c r="D38" s="157" t="str">
        <x:v>bond</x:v>
      </x:c>
      <x:c r="E38" s="157" t="str">
        <x:v>partially_secured</x:v>
      </x:c>
      <x:c r="F38" s="157" t="str">
        <x:v>B</x:v>
      </x:c>
      <x:c r="G38" s="157" t="n">
        <x:v>666</x:v>
      </x:c>
      <x:c r="H38" s="166" t="n">
        <x:v>30781067.82</x:v>
      </x:c>
      <x:c r="I38" s="162" t="n">
        <x:v>0.5692</x:v>
      </x:c>
      <x:c r="J38" s="162" t="n">
        <x:v>0.215318</x:v>
      </x:c>
      <x:c r="K38" s="157" t="str">
        <x:v>High</x:v>
      </x:c>
      <x:c r="L38" s="157" t="n">
        <x:v>2</x:v>
      </x:c>
      <x:c r="M38" s="157" t="str">
        <x:v>Manual Review</x:v>
      </x:c>
      <x:c r="N38" s="166" t="n">
        <x:v>3772497.06</x:v>
      </x:c>
      <x:c r="O38" s="157" t="n">
        <x:v>0</x:v>
      </x:c>
      <x:c r="P38" s="157" t="str">
        <x:v>test</x:v>
      </x:c>
    </x:row>
    <x:row r="39">
      <x:c r="A39" s="157" t="str">
        <x:v>L006578</x:v>
      </x:c>
      <x:c r="B39" s="165" t="n">
        <x:v>44927</x:v>
      </x:c>
      <x:c r="C39" s="157" t="str">
        <x:v>Financials</x:v>
      </x:c>
      <x:c r="D39" s="157" t="str">
        <x:v>bond</x:v>
      </x:c>
      <x:c r="E39" s="157" t="str">
        <x:v>partially_secured</x:v>
      </x:c>
      <x:c r="F39" s="157" t="str">
        <x:v>B</x:v>
      </x:c>
      <x:c r="G39" s="157" t="n">
        <x:v>733</x:v>
      </x:c>
      <x:c r="H39" s="166" t="n">
        <x:v>34911036.2</x:v>
      </x:c>
      <x:c r="I39" s="162" t="n">
        <x:v>0.6143</x:v>
      </x:c>
      <x:c r="J39" s="162" t="n">
        <x:v>0.17397</x:v>
      </x:c>
      <x:c r="K39" s="157" t="str">
        <x:v>High</x:v>
      </x:c>
      <x:c r="L39" s="157" t="n">
        <x:v>4</x:v>
      </x:c>
      <x:c r="M39" s="157" t="str">
        <x:v>Manual Review</x:v>
      </x:c>
      <x:c r="N39" s="166" t="n">
        <x:v>3730934.44</x:v>
      </x:c>
      <x:c r="O39" s="157" t="n">
        <x:v>1</x:v>
      </x:c>
      <x:c r="P39" s="157" t="str">
        <x:v>test</x:v>
      </x:c>
    </x:row>
    <x:row r="40">
      <x:c r="A40" s="157" t="str">
        <x:v>L001395</x:v>
      </x:c>
      <x:c r="B40" s="165" t="n">
        <x:v>45139</x:v>
      </x:c>
      <x:c r="C40" s="157" t="str">
        <x:v>Energy</x:v>
      </x:c>
      <x:c r="D40" s="157" t="str">
        <x:v>mortgage</x:v>
      </x:c>
      <x:c r="E40" s="157" t="str">
        <x:v>partially_secured</x:v>
      </x:c>
      <x:c r="F40" s="157" t="str">
        <x:v>B</x:v>
      </x:c>
      <x:c r="G40" s="157" t="n">
        <x:v>658</x:v>
      </x:c>
      <x:c r="H40" s="166" t="n">
        <x:v>39569242.93</x:v>
      </x:c>
      <x:c r="I40" s="162" t="n">
        <x:v>0.4755</x:v>
      </x:c>
      <x:c r="J40" s="162" t="n">
        <x:v>0.194524</x:v>
      </x:c>
      <x:c r="K40" s="157" t="str">
        <x:v>High</x:v>
      </x:c>
      <x:c r="L40" s="157" t="n">
        <x:v>3</x:v>
      </x:c>
      <x:c r="M40" s="157" t="str">
        <x:v>Manual Review</x:v>
      </x:c>
      <x:c r="N40" s="166" t="n">
        <x:v>3660003.1</x:v>
      </x:c>
      <x:c r="O40" s="157" t="n">
        <x:v>0</x:v>
      </x:c>
      <x:c r="P40" s="157" t="str">
        <x:v>test</x:v>
      </x:c>
    </x:row>
    <x:row r="41">
      <x:c r="A41" s="157" t="str">
        <x:v>L033507</x:v>
      </x:c>
      <x:c r="B41" s="165" t="n">
        <x:v>45170</x:v>
      </x:c>
      <x:c r="C41" s="157" t="str">
        <x:v>Utilities</x:v>
      </x:c>
      <x:c r="D41" s="157" t="str">
        <x:v>term_loan</x:v>
      </x:c>
      <x:c r="E41" s="157" t="str">
        <x:v>secured</x:v>
      </x:c>
      <x:c r="F41" s="157" t="str">
        <x:v>B</x:v>
      </x:c>
      <x:c r="G41" s="157" t="n">
        <x:v>643</x:v>
      </x:c>
      <x:c r="H41" s="166" t="n">
        <x:v>39930887.3</x:v>
      </x:c>
      <x:c r="I41" s="162" t="n">
        <x:v>0.3492</x:v>
      </x:c>
      <x:c r="J41" s="162" t="n">
        <x:v>0.257507</x:v>
      </x:c>
      <x:c r="K41" s="157" t="str">
        <x:v>High</x:v>
      </x:c>
      <x:c r="L41" s="157" t="n">
        <x:v>2</x:v>
      </x:c>
      <x:c r="M41" s="157" t="str">
        <x:v>Manual Review</x:v>
      </x:c>
      <x:c r="N41" s="166" t="n">
        <x:v>3590643.06</x:v>
      </x:c>
      <x:c r="O41" s="157" t="n">
        <x:v>0</x:v>
      </x:c>
      <x:c r="P41" s="157" t="str">
        <x:v>test</x:v>
      </x:c>
    </x:row>
    <x:row r="42">
      <x:c r="A42" s="157" t="str">
        <x:v>L004305</x:v>
      </x:c>
      <x:c r="B42" s="165" t="n">
        <x:v>45139</x:v>
      </x:c>
      <x:c r="C42" s="157" t="str">
        <x:v>Financials</x:v>
      </x:c>
      <x:c r="D42" s="157" t="str">
        <x:v>bond</x:v>
      </x:c>
      <x:c r="E42" s="157" t="str">
        <x:v>partially_secured</x:v>
      </x:c>
      <x:c r="F42" s="157" t="str">
        <x:v>CCC</x:v>
      </x:c>
      <x:c r="G42" s="157" t="n">
        <x:v>607</x:v>
      </x:c>
      <x:c r="H42" s="166" t="n">
        <x:v>14314328.81</x:v>
      </x:c>
      <x:c r="I42" s="162" t="n">
        <x:v>0.6148</x:v>
      </x:c>
      <x:c r="J42" s="162" t="n">
        <x:v>0.407138</x:v>
      </x:c>
      <x:c r="K42" s="157" t="str">
        <x:v>Very High</x:v>
      </x:c>
      <x:c r="L42" s="157" t="n">
        <x:v>1</x:v>
      </x:c>
      <x:c r="M42" s="157" t="str">
        <x:v>Manual Review</x:v>
      </x:c>
      <x:c r="N42" s="166" t="n">
        <x:v>3582997.35</x:v>
      </x:c>
      <x:c r="O42" s="157" t="n">
        <x:v>0</x:v>
      </x:c>
      <x:c r="P42" s="157" t="str">
        <x:v>test</x:v>
      </x:c>
    </x:row>
    <x:row r="43">
      <x:c r="A43" s="157" t="str">
        <x:v>L024635</x:v>
      </x:c>
      <x:c r="B43" s="165" t="n">
        <x:v>45017</x:v>
      </x:c>
      <x:c r="C43" s="157" t="str">
        <x:v>Real_Estate</x:v>
      </x:c>
      <x:c r="D43" s="157" t="str">
        <x:v>revolving</x:v>
      </x:c>
      <x:c r="E43" s="157" t="str">
        <x:v>unsecured</x:v>
      </x:c>
      <x:c r="F43" s="157" t="str">
        <x:v>BB</x:v>
      </x:c>
      <x:c r="G43" s="157" t="n">
        <x:v>735</x:v>
      </x:c>
      <x:c r="H43" s="166" t="n">
        <x:v>29508839.94</x:v>
      </x:c>
      <x:c r="I43" s="162" t="n">
        <x:v>0.6442</x:v>
      </x:c>
      <x:c r="J43" s="162" t="n">
        <x:v>0.178875</x:v>
      </x:c>
      <x:c r="K43" s="157" t="str">
        <x:v>High</x:v>
      </x:c>
      <x:c r="L43" s="157" t="n">
        <x:v>4</x:v>
      </x:c>
      <x:c r="M43" s="157" t="str">
        <x:v>Manual Review</x:v>
      </x:c>
      <x:c r="N43" s="166" t="n">
        <x:v>3400341.25</x:v>
      </x:c>
      <x:c r="O43" s="157" t="n">
        <x:v>0</x:v>
      </x:c>
      <x:c r="P43" s="157" t="str">
        <x:v>test</x:v>
      </x:c>
    </x:row>
    <x:row r="44">
      <x:c r="A44" s="157" t="str">
        <x:v>L006785</x:v>
      </x:c>
      <x:c r="B44" s="165" t="n">
        <x:v>44743</x:v>
      </x:c>
      <x:c r="C44" s="157" t="str">
        <x:v>Technology</x:v>
      </x:c>
      <x:c r="D44" s="157" t="str">
        <x:v>lease</x:v>
      </x:c>
      <x:c r="E44" s="157" t="str">
        <x:v>partially_secured</x:v>
      </x:c>
      <x:c r="F44" s="157" t="str">
        <x:v>B</x:v>
      </x:c>
      <x:c r="G44" s="157" t="n">
        <x:v>669</x:v>
      </x:c>
      <x:c r="H44" s="166" t="n">
        <x:v>17072361.15</x:v>
      </x:c>
      <x:c r="I44" s="162" t="n">
        <x:v>0.716</x:v>
      </x:c>
      <x:c r="J44" s="162" t="n">
        <x:v>0.272691</x:v>
      </x:c>
      <x:c r="K44" s="157" t="str">
        <x:v>High</x:v>
      </x:c>
      <x:c r="L44" s="157" t="n">
        <x:v>1</x:v>
      </x:c>
      <x:c r="M44" s="157" t="str">
        <x:v>Manual Review</x:v>
      </x:c>
      <x:c r="N44" s="166" t="n">
        <x:v>3333323.13</x:v>
      </x:c>
      <x:c r="O44" s="157" t="n">
        <x:v>0</x:v>
      </x:c>
      <x:c r="P44" s="157" t="str">
        <x:v>test</x:v>
      </x:c>
    </x:row>
    <x:row r="45">
      <x:c r="A45" s="157" t="str">
        <x:v>L000253</x:v>
      </x:c>
      <x:c r="B45" s="165" t="n">
        <x:v>44652</x:v>
      </x:c>
      <x:c r="C45" s="157" t="str">
        <x:v>Telecom</x:v>
      </x:c>
      <x:c r="D45" s="157" t="str">
        <x:v>term_loan</x:v>
      </x:c>
      <x:c r="E45" s="157" t="str">
        <x:v>unsecured</x:v>
      </x:c>
      <x:c r="F45" s="157" t="str">
        <x:v>CCC</x:v>
      </x:c>
      <x:c r="G45" s="157" t="n">
        <x:v>637</x:v>
      </x:c>
      <x:c r="H45" s="166" t="n">
        <x:v>11235138.13</x:v>
      </x:c>
      <x:c r="I45" s="162" t="n">
        <x:v>0.7483</x:v>
      </x:c>
      <x:c r="J45" s="162" t="n">
        <x:v>0.394099</x:v>
      </x:c>
      <x:c r="K45" s="157" t="str">
        <x:v>Very High</x:v>
      </x:c>
      <x:c r="L45" s="157" t="n">
        <x:v>1</x:v>
      </x:c>
      <x:c r="M45" s="157" t="str">
        <x:v>Manual Review</x:v>
      </x:c>
      <x:c r="N45" s="166" t="n">
        <x:v>3313290.34</x:v>
      </x:c>
      <x:c r="O45" s="157" t="n">
        <x:v>0</x:v>
      </x:c>
      <x:c r="P45" s="157" t="str">
        <x:v>test</x:v>
      </x:c>
    </x:row>
    <x:row r="46">
      <x:c r="A46" s="157" t="str">
        <x:v>L030332</x:v>
      </x:c>
      <x:c r="B46" s="165" t="n">
        <x:v>45047</x:v>
      </x:c>
      <x:c r="C46" s="157" t="str">
        <x:v>Telecom</x:v>
      </x:c>
      <x:c r="D46" s="157" t="str">
        <x:v>lease</x:v>
      </x:c>
      <x:c r="E46" s="157" t="str">
        <x:v>secured</x:v>
      </x:c>
      <x:c r="F46" s="157" t="str">
        <x:v>CCC</x:v>
      </x:c>
      <x:c r="G46" s="157" t="n">
        <x:v>651</x:v>
      </x:c>
      <x:c r="H46" s="166" t="n">
        <x:v>19115268.06</x:v>
      </x:c>
      <x:c r="I46" s="162" t="n">
        <x:v>0.4424</x:v>
      </x:c>
      <x:c r="J46" s="162" t="n">
        <x:v>0.390616</x:v>
      </x:c>
      <x:c r="K46" s="157" t="str">
        <x:v>Very High</x:v>
      </x:c>
      <x:c r="L46" s="157" t="n">
        <x:v>1</x:v>
      </x:c>
      <x:c r="M46" s="157" t="str">
        <x:v>Manual Review</x:v>
      </x:c>
      <x:c r="N46" s="166" t="n">
        <x:v>3303281.15</x:v>
      </x:c>
      <x:c r="O46" s="157" t="n">
        <x:v>1</x:v>
      </x:c>
      <x:c r="P46" s="157" t="str">
        <x:v>test</x:v>
      </x:c>
    </x:row>
    <x:row r="47">
      <x:c r="A47" s="157" t="str">
        <x:v>L012797</x:v>
      </x:c>
      <x:c r="B47" s="165" t="n">
        <x:v>44927</x:v>
      </x:c>
      <x:c r="C47" s="157" t="str">
        <x:v>Utilities</x:v>
      </x:c>
      <x:c r="D47" s="157" t="str">
        <x:v>term_loan</x:v>
      </x:c>
      <x:c r="E47" s="157" t="str">
        <x:v>unsecured</x:v>
      </x:c>
      <x:c r="F47" s="157" t="str">
        <x:v>B</x:v>
      </x:c>
      <x:c r="G47" s="157" t="n">
        <x:v>687</x:v>
      </x:c>
      <x:c r="H47" s="166" t="n">
        <x:v>18123030.46</x:v>
      </x:c>
      <x:c r="I47" s="162" t="n">
        <x:v>0.7313</x:v>
      </x:c>
      <x:c r="J47" s="162" t="n">
        <x:v>0.247123</x:v>
      </x:c>
      <x:c r="K47" s="157" t="str">
        <x:v>High</x:v>
      </x:c>
      <x:c r="L47" s="157" t="n">
        <x:v>2</x:v>
      </x:c>
      <x:c r="M47" s="157" t="str">
        <x:v>Manual Review</x:v>
      </x:c>
      <x:c r="N47" s="166" t="n">
        <x:v>3275213.09</x:v>
      </x:c>
      <x:c r="O47" s="157" t="n">
        <x:v>0</x:v>
      </x:c>
      <x:c r="P47" s="157" t="str">
        <x:v>test</x:v>
      </x:c>
    </x:row>
    <x:row r="48">
      <x:c r="A48" s="157" t="str">
        <x:v>L034778</x:v>
      </x:c>
      <x:c r="B48" s="165" t="n">
        <x:v>45047</x:v>
      </x:c>
      <x:c r="C48" s="157" t="str">
        <x:v>Energy</x:v>
      </x:c>
      <x:c r="D48" s="157" t="str">
        <x:v>mortgage</x:v>
      </x:c>
      <x:c r="E48" s="157" t="str">
        <x:v>partially_secured</x:v>
      </x:c>
      <x:c r="F48" s="157" t="str">
        <x:v>B</x:v>
      </x:c>
      <x:c r="G48" s="157" t="n">
        <x:v>649</x:v>
      </x:c>
      <x:c r="H48" s="166" t="n">
        <x:v>45609825.02</x:v>
      </x:c>
      <x:c r="I48" s="162" t="n">
        <x:v>0.389</x:v>
      </x:c>
      <x:c r="J48" s="162" t="n">
        <x:v>0.183686</x:v>
      </x:c>
      <x:c r="K48" s="157" t="str">
        <x:v>High</x:v>
      </x:c>
      <x:c r="L48" s="157" t="n">
        <x:v>3</x:v>
      </x:c>
      <x:c r="M48" s="157" t="str">
        <x:v>Manual Review</x:v>
      </x:c>
      <x:c r="N48" s="166" t="n">
        <x:v>3258997.78</x:v>
      </x:c>
      <x:c r="O48" s="157" t="n">
        <x:v>0</x:v>
      </x:c>
      <x:c r="P48" s="157" t="str">
        <x:v>test</x:v>
      </x:c>
    </x:row>
    <x:row r="49">
      <x:c r="A49" s="157" t="str">
        <x:v>L040083</x:v>
      </x:c>
      <x:c r="B49" s="165" t="n">
        <x:v>45108</x:v>
      </x:c>
      <x:c r="C49" s="157" t="str">
        <x:v>Financials</x:v>
      </x:c>
      <x:c r="D49" s="157" t="str">
        <x:v>revolving</x:v>
      </x:c>
      <x:c r="E49" s="157" t="str">
        <x:v>unsecured</x:v>
      </x:c>
      <x:c r="F49" s="157" t="str">
        <x:v>BB</x:v>
      </x:c>
      <x:c r="G49" s="157" t="n">
        <x:v>701</x:v>
      </x:c>
      <x:c r="H49" s="166" t="n">
        <x:v>31209153.89</x:v>
      </x:c>
      <x:c r="I49" s="162" t="n">
        <x:v>0.5044</x:v>
      </x:c>
      <x:c r="J49" s="162" t="n">
        <x:v>0.204929</x:v>
      </x:c>
      <x:c r="K49" s="157" t="str">
        <x:v>High</x:v>
      </x:c>
      <x:c r="L49" s="157" t="n">
        <x:v>2</x:v>
      </x:c>
      <x:c r="M49" s="157" t="str">
        <x:v>Manual Review</x:v>
      </x:c>
      <x:c r="N49" s="166" t="n">
        <x:v>3225971.26</x:v>
      </x:c>
      <x:c r="O49" s="157" t="n">
        <x:v>0</x:v>
      </x:c>
      <x:c r="P49" s="157" t="str">
        <x:v>test</x:v>
      </x:c>
    </x:row>
    <x:row r="50">
      <x:c r="A50" s="157" t="str">
        <x:v>L020054</x:v>
      </x:c>
      <x:c r="B50" s="165" t="n">
        <x:v>45047</x:v>
      </x:c>
      <x:c r="C50" s="157" t="str">
        <x:v>Energy</x:v>
      </x:c>
      <x:c r="D50" s="157" t="str">
        <x:v>mortgage</x:v>
      </x:c>
      <x:c r="E50" s="157" t="str">
        <x:v>unsecured</x:v>
      </x:c>
      <x:c r="F50" s="157" t="str">
        <x:v>CCC</x:v>
      </x:c>
      <x:c r="G50" s="157" t="n">
        <x:v>689</x:v>
      </x:c>
      <x:c r="H50" s="166" t="n">
        <x:v>12226031.27</x:v>
      </x:c>
      <x:c r="I50" s="162" t="n">
        <x:v>0.7591</x:v>
      </x:c>
      <x:c r="J50" s="162" t="n">
        <x:v>0.344224</x:v>
      </x:c>
      <x:c r="K50" s="157" t="str">
        <x:v>Very High</x:v>
      </x:c>
      <x:c r="L50" s="157" t="n">
        <x:v>1</x:v>
      </x:c>
      <x:c r="M50" s="157" t="str">
        <x:v>Manual Review</x:v>
      </x:c>
      <x:c r="N50" s="166" t="n">
        <x:v>3194667.33</x:v>
      </x:c>
      <x:c r="O50" s="157" t="n">
        <x:v>1</x:v>
      </x:c>
      <x:c r="P50" s="157" t="str">
        <x:v>test</x:v>
      </x:c>
    </x:row>
    <x:row r="51">
      <x:c r="A51" s="157" t="str">
        <x:v>L030131</x:v>
      </x:c>
      <x:c r="B51" s="165" t="n">
        <x:v>45139</x:v>
      </x:c>
      <x:c r="C51" s="157" t="str">
        <x:v>Utilities</x:v>
      </x:c>
      <x:c r="D51" s="157" t="str">
        <x:v>term_loan</x:v>
      </x:c>
      <x:c r="E51" s="157" t="str">
        <x:v>partially_secured</x:v>
      </x:c>
      <x:c r="F51" s="157" t="str">
        <x:v>B</x:v>
      </x:c>
      <x:c r="G51" s="157" t="n">
        <x:v>662</x:v>
      </x:c>
      <x:c r="H51" s="166" t="n">
        <x:v>21966337.47</x:v>
      </x:c>
      <x:c r="I51" s="162" t="n">
        <x:v>0.4843</x:v>
      </x:c>
      <x:c r="J51" s="162" t="n">
        <x:v>0.298246</x:v>
      </x:c>
      <x:c r="K51" s="157" t="str">
        <x:v>High</x:v>
      </x:c>
      <x:c r="L51" s="157" t="n">
        <x:v>1</x:v>
      </x:c>
      <x:c r="M51" s="157" t="str">
        <x:v>Manual Review</x:v>
      </x:c>
      <x:c r="N51" s="166" t="n">
        <x:v>3172829.6</x:v>
      </x:c>
      <x:c r="O51" s="157" t="n">
        <x:v>1</x:v>
      </x:c>
      <x:c r="P51" s="157" t="str">
        <x:v>test</x:v>
      </x:c>
    </x:row>
    <x:row r="52">
      <x:c r="A52" s="157" t="str">
        <x:v>L039937</x:v>
      </x:c>
      <x:c r="B52" s="165" t="n">
        <x:v>44835</x:v>
      </x:c>
      <x:c r="C52" s="157" t="str">
        <x:v>Utilities</x:v>
      </x:c>
      <x:c r="D52" s="157" t="str">
        <x:v>term_loan</x:v>
      </x:c>
      <x:c r="E52" s="157" t="str">
        <x:v>secured</x:v>
      </x:c>
      <x:c r="F52" s="157" t="str">
        <x:v>CCC</x:v>
      </x:c>
      <x:c r="G52" s="157" t="n">
        <x:v>609</x:v>
      </x:c>
      <x:c r="H52" s="166" t="n">
        <x:v>26685002.79</x:v>
      </x:c>
      <x:c r="I52" s="162" t="n">
        <x:v>0.4696</x:v>
      </x:c>
      <x:c r="J52" s="162" t="n">
        <x:v>0.251234</x:v>
      </x:c>
      <x:c r="K52" s="157" t="str">
        <x:v>High</x:v>
      </x:c>
      <x:c r="L52" s="157" t="n">
        <x:v>2</x:v>
      </x:c>
      <x:c r="M52" s="157" t="str">
        <x:v>Manual Review</x:v>
      </x:c>
      <x:c r="N52" s="166" t="n">
        <x:v>3148282.92</x:v>
      </x:c>
      <x:c r="O52" s="157" t="n">
        <x:v>0</x:v>
      </x:c>
      <x:c r="P52" s="157" t="str">
        <x:v>test</x:v>
      </x:c>
    </x:row>
    <x:row r="53">
      <x:c r="A53" s="157" t="str">
        <x:v>L022269</x:v>
      </x:c>
      <x:c r="B53" s="165" t="n">
        <x:v>44927</x:v>
      </x:c>
      <x:c r="C53" s="157" t="str">
        <x:v>Telecom</x:v>
      </x:c>
      <x:c r="D53" s="157" t="str">
        <x:v>term_loan</x:v>
      </x:c>
      <x:c r="E53" s="157" t="str">
        <x:v>unsecured</x:v>
      </x:c>
      <x:c r="F53" s="157" t="str">
        <x:v>BBB</x:v>
      </x:c>
      <x:c r="G53" s="157" t="n">
        <x:v>697</x:v>
      </x:c>
      <x:c r="H53" s="166" t="n">
        <x:v>25230145.98</x:v>
      </x:c>
      <x:c r="I53" s="162" t="n">
        <x:v>0.6882</x:v>
      </x:c>
      <x:c r="J53" s="162" t="n">
        <x:v>0.176934</x:v>
      </x:c>
      <x:c r="K53" s="157" t="str">
        <x:v>High</x:v>
      </x:c>
      <x:c r="L53" s="157" t="n">
        <x:v>4</x:v>
      </x:c>
      <x:c r="M53" s="157" t="str">
        <x:v>Manual Review</x:v>
      </x:c>
      <x:c r="N53" s="166" t="n">
        <x:v>3072173.42</x:v>
      </x:c>
      <x:c r="O53" s="157" t="n">
        <x:v>0</x:v>
      </x:c>
      <x:c r="P53" s="157" t="str">
        <x:v>test</x:v>
      </x:c>
    </x:row>
    <x:row r="54">
      <x:c r="A54" s="157" t="str">
        <x:v>L039552</x:v>
      </x:c>
      <x:c r="B54" s="165" t="n">
        <x:v>45017</x:v>
      </x:c>
      <x:c r="C54" s="157" t="str">
        <x:v>Energy</x:v>
      </x:c>
      <x:c r="D54" s="157" t="str">
        <x:v>mortgage</x:v>
      </x:c>
      <x:c r="E54" s="157" t="str">
        <x:v>secured</x:v>
      </x:c>
      <x:c r="F54" s="157" t="str">
        <x:v>B</x:v>
      </x:c>
      <x:c r="G54" s="157" t="n">
        <x:v>636</x:v>
      </x:c>
      <x:c r="H54" s="166" t="n">
        <x:v>37868237.28</x:v>
      </x:c>
      <x:c r="I54" s="162" t="n">
        <x:v>0.3646</x:v>
      </x:c>
      <x:c r="J54" s="162" t="n">
        <x:v>0.220053</x:v>
      </x:c>
      <x:c r="K54" s="157" t="str">
        <x:v>High</x:v>
      </x:c>
      <x:c r="L54" s="157" t="n">
        <x:v>2</x:v>
      </x:c>
      <x:c r="M54" s="157" t="str">
        <x:v>Manual Review</x:v>
      </x:c>
      <x:c r="N54" s="166" t="n">
        <x:v>3038218.81</x:v>
      </x:c>
      <x:c r="O54" s="157" t="n">
        <x:v>0</x:v>
      </x:c>
      <x:c r="P54" s="157" t="str">
        <x:v>test</x:v>
      </x:c>
    </x:row>
    <x:row r="55">
      <x:c r="A55" s="157" t="str">
        <x:v>L045870</x:v>
      </x:c>
      <x:c r="B55" s="165" t="n">
        <x:v>45170</x:v>
      </x:c>
      <x:c r="C55" s="157" t="str">
        <x:v>Energy</x:v>
      </x:c>
      <x:c r="D55" s="157" t="str">
        <x:v>term_loan</x:v>
      </x:c>
      <x:c r="E55" s="157" t="str">
        <x:v>partially_secured</x:v>
      </x:c>
      <x:c r="F55" s="157" t="str">
        <x:v>BB</x:v>
      </x:c>
      <x:c r="G55" s="157" t="n">
        <x:v>699</x:v>
      </x:c>
      <x:c r="H55" s="166" t="n">
        <x:v>25758837.9</x:v>
      </x:c>
      <x:c r="I55" s="162" t="n">
        <x:v>0.5572</x:v>
      </x:c>
      <x:c r="J55" s="162" t="n">
        <x:v>0.206345</x:v>
      </x:c>
      <x:c r="K55" s="157" t="str">
        <x:v>High</x:v>
      </x:c>
      <x:c r="L55" s="157" t="n">
        <x:v>2</x:v>
      </x:c>
      <x:c r="M55" s="157" t="str">
        <x:v>Manual Review</x:v>
      </x:c>
      <x:c r="N55" s="166" t="n">
        <x:v>2961633.57</x:v>
      </x:c>
      <x:c r="O55" s="157" t="n">
        <x:v>0</x:v>
      </x:c>
      <x:c r="P55" s="157" t="str">
        <x:v>test</x:v>
      </x:c>
    </x:row>
    <x:row r="56">
      <x:c r="A56" s="157" t="str">
        <x:v>L036383</x:v>
      </x:c>
      <x:c r="B56" s="165" t="n">
        <x:v>44652</x:v>
      </x:c>
      <x:c r="C56" s="157" t="str">
        <x:v>Technology</x:v>
      </x:c>
      <x:c r="D56" s="157" t="str">
        <x:v>mortgage</x:v>
      </x:c>
      <x:c r="E56" s="157" t="str">
        <x:v>unsecured</x:v>
      </x:c>
      <x:c r="F56" s="157" t="str">
        <x:v>CCC</x:v>
      </x:c>
      <x:c r="G56" s="157" t="n">
        <x:v>655</x:v>
      </x:c>
      <x:c r="H56" s="166" t="n">
        <x:v>10387255.26</x:v>
      </x:c>
      <x:c r="I56" s="162" t="n">
        <x:v>0.7965</x:v>
      </x:c>
      <x:c r="J56" s="162" t="n">
        <x:v>0.354101</x:v>
      </x:c>
      <x:c r="K56" s="157" t="str">
        <x:v>Very High</x:v>
      </x:c>
      <x:c r="L56" s="157" t="n">
        <x:v>1</x:v>
      </x:c>
      <x:c r="M56" s="157" t="str">
        <x:v>Manual Review</x:v>
      </x:c>
      <x:c r="N56" s="166" t="n">
        <x:v>2929636.5</x:v>
      </x:c>
      <x:c r="O56" s="157" t="n">
        <x:v>1</x:v>
      </x:c>
      <x:c r="P56" s="157" t="str">
        <x:v>test</x:v>
      </x:c>
    </x:row>
    <x:row r="57">
      <x:c r="A57" s="157" t="str">
        <x:v>L037569</x:v>
      </x:c>
      <x:c r="B57" s="165" t="n">
        <x:v>45170</x:v>
      </x:c>
      <x:c r="C57" s="157" t="str">
        <x:v>Industrials</x:v>
      </x:c>
      <x:c r="D57" s="157" t="str">
        <x:v>bond</x:v>
      </x:c>
      <x:c r="E57" s="157" t="str">
        <x:v>secured</x:v>
      </x:c>
      <x:c r="F57" s="157" t="str">
        <x:v>CCC</x:v>
      </x:c>
      <x:c r="G57" s="157" t="n">
        <x:v>652</x:v>
      </x:c>
      <x:c r="H57" s="166" t="n">
        <x:v>24619576.23</x:v>
      </x:c>
      <x:c r="I57" s="162" t="n">
        <x:v>0.3288</x:v>
      </x:c>
      <x:c r="J57" s="162" t="n">
        <x:v>0.350951</x:v>
      </x:c>
      <x:c r="K57" s="157" t="str">
        <x:v>Very High</x:v>
      </x:c>
      <x:c r="L57" s="157" t="n">
        <x:v>1</x:v>
      </x:c>
      <x:c r="M57" s="157" t="str">
        <x:v>Manual Review</x:v>
      </x:c>
      <x:c r="N57" s="166" t="n">
        <x:v>2840919.1</x:v>
      </x:c>
      <x:c r="O57" s="157" t="n">
        <x:v>0</x:v>
      </x:c>
      <x:c r="P57" s="157" t="str">
        <x:v>test</x:v>
      </x:c>
    </x:row>
    <x:row r="58">
      <x:c r="A58" s="157" t="str">
        <x:v>L049249</x:v>
      </x:c>
      <x:c r="B58" s="165" t="n">
        <x:v>45231</x:v>
      </x:c>
      <x:c r="C58" s="157" t="str">
        <x:v>Industrials</x:v>
      </x:c>
      <x:c r="D58" s="157" t="str">
        <x:v>term_loan</x:v>
      </x:c>
      <x:c r="E58" s="157" t="str">
        <x:v>secured</x:v>
      </x:c>
      <x:c r="F58" s="157" t="str">
        <x:v>CCC</x:v>
      </x:c>
      <x:c r="G58" s="157" t="n">
        <x:v>624</x:v>
      </x:c>
      <x:c r="H58" s="166" t="n">
        <x:v>10442444.66</x:v>
      </x:c>
      <x:c r="I58" s="162" t="n">
        <x:v>0.5885</x:v>
      </x:c>
      <x:c r="J58" s="162" t="n">
        <x:v>0.457838</x:v>
      </x:c>
      <x:c r="K58" s="157" t="str">
        <x:v>Very High</x:v>
      </x:c>
      <x:c r="L58" s="157" t="n">
        <x:v>1</x:v>
      </x:c>
      <x:c r="M58" s="157" t="str">
        <x:v>Manual Review</x:v>
      </x:c>
      <x:c r="N58" s="166" t="n">
        <x:v>2813587.89</x:v>
      </x:c>
      <x:c r="O58" s="157" t="n">
        <x:v>0</x:v>
      </x:c>
      <x:c r="P58" s="157" t="str">
        <x:v>test</x:v>
      </x:c>
    </x:row>
    <x:row r="59">
      <x:c r="A59" s="157" t="str">
        <x:v>L036137</x:v>
      </x:c>
      <x:c r="B59" s="165" t="n">
        <x:v>45231</x:v>
      </x:c>
      <x:c r="C59" s="157" t="str">
        <x:v>Financials</x:v>
      </x:c>
      <x:c r="D59" s="157" t="str">
        <x:v>term_loan</x:v>
      </x:c>
      <x:c r="E59" s="157" t="str">
        <x:v>secured</x:v>
      </x:c>
      <x:c r="F59" s="157" t="str">
        <x:v>BBB</x:v>
      </x:c>
      <x:c r="G59" s="157" t="n">
        <x:v>682</x:v>
      </x:c>
      <x:c r="H59" s="166" t="n">
        <x:v>40984678.84</x:v>
      </x:c>
      <x:c r="I59" s="162" t="n">
        <x:v>0.3746</x:v>
      </x:c>
      <x:c r="J59" s="162" t="n">
        <x:v>0.182782</x:v>
      </x:c>
      <x:c r="K59" s="157" t="str">
        <x:v>High</x:v>
      </x:c>
      <x:c r="L59" s="157" t="n">
        <x:v>3</x:v>
      </x:c>
      <x:c r="M59" s="157" t="str">
        <x:v>Manual Review</x:v>
      </x:c>
      <x:c r="N59" s="166" t="n">
        <x:v>2806226.58</x:v>
      </x:c>
      <x:c r="O59" s="157" t="n">
        <x:v>0</x:v>
      </x:c>
      <x:c r="P59" s="157" t="str">
        <x:v>test</x:v>
      </x:c>
    </x:row>
    <x:row r="60">
      <x:c r="A60" s="157" t="str">
        <x:v>L007181</x:v>
      </x:c>
      <x:c r="B60" s="165" t="n">
        <x:v>45047</x:v>
      </x:c>
      <x:c r="C60" s="157" t="str">
        <x:v>Energy</x:v>
      </x:c>
      <x:c r="D60" s="157" t="str">
        <x:v>term_loan</x:v>
      </x:c>
      <x:c r="E60" s="157" t="str">
        <x:v>partially_secured</x:v>
      </x:c>
      <x:c r="F60" s="157" t="str">
        <x:v>CCC</x:v>
      </x:c>
      <x:c r="G60" s="157" t="n">
        <x:v>721</x:v>
      </x:c>
      <x:c r="H60" s="166" t="n">
        <x:v>15400710.54</x:v>
      </x:c>
      <x:c r="I60" s="162" t="n">
        <x:v>0.5777</x:v>
      </x:c>
      <x:c r="J60" s="162" t="n">
        <x:v>0.311203</x:v>
      </x:c>
      <x:c r="K60" s="157" t="str">
        <x:v>Very High</x:v>
      </x:c>
      <x:c r="L60" s="157" t="n">
        <x:v>1</x:v>
      </x:c>
      <x:c r="M60" s="157" t="str">
        <x:v>Manual Review</x:v>
      </x:c>
      <x:c r="N60" s="166" t="n">
        <x:v>2768770.13</x:v>
      </x:c>
      <x:c r="O60" s="157" t="n">
        <x:v>1</x:v>
      </x:c>
      <x:c r="P60" s="157" t="str">
        <x:v>test</x:v>
      </x:c>
    </x:row>
    <x:row r="61">
      <x:c r="A61" s="157" t="str">
        <x:v>L008778</x:v>
      </x:c>
      <x:c r="B61" s="165" t="n">
        <x:v>45017</x:v>
      </x:c>
      <x:c r="C61" s="157" t="str">
        <x:v>Real_Estate</x:v>
      </x:c>
      <x:c r="D61" s="157" t="str">
        <x:v>term_loan</x:v>
      </x:c>
      <x:c r="E61" s="157" t="str">
        <x:v>secured</x:v>
      </x:c>
      <x:c r="F61" s="157" t="str">
        <x:v>CCC</x:v>
      </x:c>
      <x:c r="G61" s="157" t="n">
        <x:v>674</x:v>
      </x:c>
      <x:c r="H61" s="166" t="n">
        <x:v>14413362.33</x:v>
      </x:c>
      <x:c r="I61" s="162" t="n">
        <x:v>0.491</x:v>
      </x:c>
      <x:c r="J61" s="162" t="n">
        <x:v>0.384529</x:v>
      </x:c>
      <x:c r="K61" s="157" t="str">
        <x:v>Very High</x:v>
      </x:c>
      <x:c r="L61" s="157" t="n">
        <x:v>1</x:v>
      </x:c>
      <x:c r="M61" s="157" t="str">
        <x:v>Manual Review</x:v>
      </x:c>
      <x:c r="N61" s="166" t="n">
        <x:v>2721296.7</x:v>
      </x:c>
      <x:c r="O61" s="157" t="n">
        <x:v>0</x:v>
      </x:c>
      <x:c r="P61" s="157" t="str">
        <x:v>test</x:v>
      </x:c>
    </x:row>
    <x:row r="62">
      <x:c r="A62" s="157" t="str">
        <x:v>L048838</x:v>
      </x:c>
      <x:c r="B62" s="165" t="n">
        <x:v>45200</x:v>
      </x:c>
      <x:c r="C62" s="157" t="str">
        <x:v>Real_Estate</x:v>
      </x:c>
      <x:c r="D62" s="157" t="str">
        <x:v>revolving</x:v>
      </x:c>
      <x:c r="E62" s="157" t="str">
        <x:v>secured</x:v>
      </x:c>
      <x:c r="F62" s="157" t="str">
        <x:v>CCC</x:v>
      </x:c>
      <x:c r="G62" s="157" t="n">
        <x:v>632</x:v>
      </x:c>
      <x:c r="H62" s="166" t="n">
        <x:v>18831957.64</x:v>
      </x:c>
      <x:c r="I62" s="162" t="n">
        <x:v>0.3736</x:v>
      </x:c>
      <x:c r="J62" s="162" t="n">
        <x:v>0.38624</x:v>
      </x:c>
      <x:c r="K62" s="157" t="str">
        <x:v>Very High</x:v>
      </x:c>
      <x:c r="L62" s="157" t="n">
        <x:v>1</x:v>
      </x:c>
      <x:c r="M62" s="157" t="str">
        <x:v>Manual Review</x:v>
      </x:c>
      <x:c r="N62" s="166" t="n">
        <x:v>2717437.63</x:v>
      </x:c>
      <x:c r="O62" s="157" t="n">
        <x:v>0</x:v>
      </x:c>
      <x:c r="P62" s="157" t="str">
        <x:v>test</x:v>
      </x:c>
    </x:row>
    <x:row r="63">
      <x:c r="A63" s="157" t="str">
        <x:v>L038942</x:v>
      </x:c>
      <x:c r="B63" s="165" t="n">
        <x:v>45139</x:v>
      </x:c>
      <x:c r="C63" s="157" t="str">
        <x:v>Financials</x:v>
      </x:c>
      <x:c r="D63" s="157" t="str">
        <x:v>revolving</x:v>
      </x:c>
      <x:c r="E63" s="157" t="str">
        <x:v>unsecured</x:v>
      </x:c>
      <x:c r="F63" s="157" t="str">
        <x:v>B</x:v>
      </x:c>
      <x:c r="G63" s="157" t="n">
        <x:v>689</x:v>
      </x:c>
      <x:c r="H63" s="166" t="n">
        <x:v>28908493.11</x:v>
      </x:c>
      <x:c r="I63" s="162" t="n">
        <x:v>0.5116</x:v>
      </x:c>
      <x:c r="J63" s="162" t="n">
        <x:v>0.183236</x:v>
      </x:c>
      <x:c r="K63" s="157" t="str">
        <x:v>High</x:v>
      </x:c>
      <x:c r="L63" s="157" t="n">
        <x:v>3</x:v>
      </x:c>
      <x:c r="M63" s="157" t="str">
        <x:v>Manual Review</x:v>
      </x:c>
      <x:c r="N63" s="166" t="n">
        <x:v>2709984.41</x:v>
      </x:c>
      <x:c r="O63" s="157" t="n">
        <x:v>0</x:v>
      </x:c>
      <x:c r="P63" s="157" t="str">
        <x:v>test</x:v>
      </x:c>
    </x:row>
    <x:row r="64">
      <x:c r="A64" s="157" t="str">
        <x:v>L015778</x:v>
      </x:c>
      <x:c r="B64" s="165" t="n">
        <x:v>44713</x:v>
      </x:c>
      <x:c r="C64" s="157" t="str">
        <x:v>Energy</x:v>
      </x:c>
      <x:c r="D64" s="157" t="str">
        <x:v>revolving</x:v>
      </x:c>
      <x:c r="E64" s="157" t="str">
        <x:v>unsecured</x:v>
      </x:c>
      <x:c r="F64" s="157" t="str">
        <x:v>B</x:v>
      </x:c>
      <x:c r="G64" s="157" t="n">
        <x:v>708</x:v>
      </x:c>
      <x:c r="H64" s="166" t="n">
        <x:v>16739030.43</x:v>
      </x:c>
      <x:c r="I64" s="162" t="n">
        <x:v>0.6283</x:v>
      </x:c>
      <x:c r="J64" s="162" t="n">
        <x:v>0.257117</x:v>
      </x:c>
      <x:c r="K64" s="157" t="str">
        <x:v>High</x:v>
      </x:c>
      <x:c r="L64" s="157" t="n">
        <x:v>2</x:v>
      </x:c>
      <x:c r="M64" s="157" t="str">
        <x:v>Manual Review</x:v>
      </x:c>
      <x:c r="N64" s="166" t="n">
        <x:v>2704133.64</x:v>
      </x:c>
      <x:c r="O64" s="157" t="n">
        <x:v>1</x:v>
      </x:c>
      <x:c r="P64" s="157" t="str">
        <x:v>test</x:v>
      </x:c>
    </x:row>
    <x:row r="65">
      <x:c r="A65" s="157" t="str">
        <x:v>L041749</x:v>
      </x:c>
      <x:c r="B65" s="165" t="n">
        <x:v>44774</x:v>
      </x:c>
      <x:c r="C65" s="157" t="str">
        <x:v>Industrials</x:v>
      </x:c>
      <x:c r="D65" s="157" t="str">
        <x:v>bond</x:v>
      </x:c>
      <x:c r="E65" s="157" t="str">
        <x:v>unsecured</x:v>
      </x:c>
      <x:c r="F65" s="157" t="str">
        <x:v>BB</x:v>
      </x:c>
      <x:c r="G65" s="157" t="n">
        <x:v>718</x:v>
      </x:c>
      <x:c r="H65" s="166" t="n">
        <x:v>21267726.13</x:v>
      </x:c>
      <x:c r="I65" s="162" t="n">
        <x:v>0.7105</x:v>
      </x:c>
      <x:c r="J65" s="162" t="n">
        <x:v>0.178516</x:v>
      </x:c>
      <x:c r="K65" s="157" t="str">
        <x:v>High</x:v>
      </x:c>
      <x:c r="L65" s="157" t="n">
        <x:v>4</x:v>
      </x:c>
      <x:c r="M65" s="157" t="str">
        <x:v>Manual Review</x:v>
      </x:c>
      <x:c r="N65" s="166" t="n">
        <x:v>2697505.19</x:v>
      </x:c>
      <x:c r="O65" s="157" t="n">
        <x:v>0</x:v>
      </x:c>
      <x:c r="P65" s="157" t="str">
        <x:v>test</x:v>
      </x:c>
    </x:row>
    <x:row r="66">
      <x:c r="A66" s="157" t="str">
        <x:v>L039749</x:v>
      </x:c>
      <x:c r="B66" s="165" t="n">
        <x:v>44896</x:v>
      </x:c>
      <x:c r="C66" s="157" t="str">
        <x:v>Technology</x:v>
      </x:c>
      <x:c r="D66" s="157" t="str">
        <x:v>term_loan</x:v>
      </x:c>
      <x:c r="E66" s="157" t="str">
        <x:v>unsecured</x:v>
      </x:c>
      <x:c r="F66" s="157" t="str">
        <x:v>BBB</x:v>
      </x:c>
      <x:c r="G66" s="157" t="n">
        <x:v>694</x:v>
      </x:c>
      <x:c r="H66" s="166" t="n">
        <x:v>20091959.09</x:v>
      </x:c>
      <x:c r="I66" s="162" t="n">
        <x:v>0.7065</x:v>
      </x:c>
      <x:c r="J66" s="162" t="n">
        <x:v>0.188501</x:v>
      </x:c>
      <x:c r="K66" s="157" t="str">
        <x:v>High</x:v>
      </x:c>
      <x:c r="L66" s="157" t="n">
        <x:v>3</x:v>
      </x:c>
      <x:c r="M66" s="157" t="str">
        <x:v>Manual Review</x:v>
      </x:c>
      <x:c r="N66" s="166" t="n">
        <x:v>2675765.87</x:v>
      </x:c>
      <x:c r="O66" s="157" t="n">
        <x:v>1</x:v>
      </x:c>
      <x:c r="P66" s="157" t="str">
        <x:v>test</x:v>
      </x:c>
    </x:row>
    <x:row r="67">
      <x:c r="A67" s="157" t="str">
        <x:v>L010093</x:v>
      </x:c>
      <x:c r="B67" s="165" t="n">
        <x:v>45231</x:v>
      </x:c>
      <x:c r="C67" s="157" t="str">
        <x:v>Telecom</x:v>
      </x:c>
      <x:c r="D67" s="157" t="str">
        <x:v>term_loan</x:v>
      </x:c>
      <x:c r="E67" s="157" t="str">
        <x:v>unsecured</x:v>
      </x:c>
      <x:c r="F67" s="157" t="str">
        <x:v>B</x:v>
      </x:c>
      <x:c r="G67" s="157" t="n">
        <x:v>687</x:v>
      </x:c>
      <x:c r="H67" s="166" t="n">
        <x:v>18209443.78</x:v>
      </x:c>
      <x:c r="I67" s="162" t="n">
        <x:v>0.5994</x:v>
      </x:c>
      <x:c r="J67" s="162" t="n">
        <x:v>0.244421</x:v>
      </x:c>
      <x:c r="K67" s="157" t="str">
        <x:v>High</x:v>
      </x:c>
      <x:c r="L67" s="157" t="n">
        <x:v>2</x:v>
      </x:c>
      <x:c r="M67" s="157" t="str">
        <x:v>Manual Review</x:v>
      </x:c>
      <x:c r="N67" s="166" t="n">
        <x:v>2667791.81</x:v>
      </x:c>
      <x:c r="O67" s="157" t="n">
        <x:v>0</x:v>
      </x:c>
      <x:c r="P67" s="157" t="str">
        <x:v>test</x:v>
      </x:c>
    </x:row>
    <x:row r="68">
      <x:c r="A68" s="157" t="str">
        <x:v>L010400</x:v>
      </x:c>
      <x:c r="B68" s="165" t="n">
        <x:v>44835</x:v>
      </x:c>
      <x:c r="C68" s="157" t="str">
        <x:v>Industrials</x:v>
      </x:c>
      <x:c r="D68" s="157" t="str">
        <x:v>bond</x:v>
      </x:c>
      <x:c r="E68" s="157" t="str">
        <x:v>unsecured</x:v>
      </x:c>
      <x:c r="F68" s="157" t="str">
        <x:v>BB</x:v>
      </x:c>
      <x:c r="G68" s="157" t="n">
        <x:v>692</x:v>
      </x:c>
      <x:c r="H68" s="166" t="n">
        <x:v>24289426.9</x:v>
      </x:c>
      <x:c r="I68" s="162" t="n">
        <x:v>0.5966</x:v>
      </x:c>
      <x:c r="J68" s="162" t="n">
        <x:v>0.183892</x:v>
      </x:c>
      <x:c r="K68" s="157" t="str">
        <x:v>High</x:v>
      </x:c>
      <x:c r="L68" s="157" t="n">
        <x:v>3</x:v>
      </x:c>
      <x:c r="M68" s="157" t="str">
        <x:v>Manual Review</x:v>
      </x:c>
      <x:c r="N68" s="166" t="n">
        <x:v>2664792.23</x:v>
      </x:c>
      <x:c r="O68" s="157" t="n">
        <x:v>0</x:v>
      </x:c>
      <x:c r="P68" s="157" t="str">
        <x:v>test</x:v>
      </x:c>
    </x:row>
    <x:row r="69">
      <x:c r="A69" s="157" t="str">
        <x:v>L041532</x:v>
      </x:c>
      <x:c r="B69" s="165" t="n">
        <x:v>45170</x:v>
      </x:c>
      <x:c r="C69" s="157" t="str">
        <x:v>Real_Estate</x:v>
      </x:c>
      <x:c r="D69" s="157" t="str">
        <x:v>term_loan</x:v>
      </x:c>
      <x:c r="E69" s="157" t="str">
        <x:v>secured</x:v>
      </x:c>
      <x:c r="F69" s="157" t="str">
        <x:v>CCC</x:v>
      </x:c>
      <x:c r="G69" s="157" t="n">
        <x:v>625</x:v>
      </x:c>
      <x:c r="H69" s="166" t="n">
        <x:v>18020686.13</x:v>
      </x:c>
      <x:c r="I69" s="162" t="n">
        <x:v>0.3436</x:v>
      </x:c>
      <x:c r="J69" s="162" t="n">
        <x:v>0.425656</x:v>
      </x:c>
      <x:c r="K69" s="157" t="str">
        <x:v>Very High</x:v>
      </x:c>
      <x:c r="L69" s="157" t="n">
        <x:v>1</x:v>
      </x:c>
      <x:c r="M69" s="157" t="str">
        <x:v>Manual Review</x:v>
      </x:c>
      <x:c r="N69" s="166" t="n">
        <x:v>2635622.69</x:v>
      </x:c>
      <x:c r="O69" s="157" t="n">
        <x:v>1</x:v>
      </x:c>
      <x:c r="P69" s="157" t="str">
        <x:v>test</x:v>
      </x:c>
    </x:row>
    <x:row r="70">
      <x:c r="A70" s="157" t="str">
        <x:v>L014999</x:v>
      </x:c>
      <x:c r="B70" s="165" t="n">
        <x:v>44774</x:v>
      </x:c>
      <x:c r="C70" s="157" t="str">
        <x:v>Utilities</x:v>
      </x:c>
      <x:c r="D70" s="157" t="str">
        <x:v>term_loan</x:v>
      </x:c>
      <x:c r="E70" s="157" t="str">
        <x:v>secured</x:v>
      </x:c>
      <x:c r="F70" s="157" t="str">
        <x:v>CCC</x:v>
      </x:c>
      <x:c r="G70" s="157" t="n">
        <x:v>684</x:v>
      </x:c>
      <x:c r="H70" s="166" t="n">
        <x:v>12765037.23</x:v>
      </x:c>
      <x:c r="I70" s="162" t="n">
        <x:v>0.4557</x:v>
      </x:c>
      <x:c r="J70" s="162" t="n">
        <x:v>0.449019</x:v>
      </x:c>
      <x:c r="K70" s="157" t="str">
        <x:v>Very High</x:v>
      </x:c>
      <x:c r="L70" s="157" t="n">
        <x:v>1</x:v>
      </x:c>
      <x:c r="M70" s="157" t="str">
        <x:v>Manual Review</x:v>
      </x:c>
      <x:c r="N70" s="166" t="n">
        <x:v>2611955.86</x:v>
      </x:c>
      <x:c r="O70" s="157" t="n">
        <x:v>0</x:v>
      </x:c>
      <x:c r="P70" s="157" t="str">
        <x:v>test</x:v>
      </x:c>
    </x:row>
    <x:row r="71">
      <x:c r="A71" s="157" t="str">
        <x:v>L028411</x:v>
      </x:c>
      <x:c r="B71" s="165" t="n">
        <x:v>45231</x:v>
      </x:c>
      <x:c r="C71" s="157" t="str">
        <x:v>Real_Estate</x:v>
      </x:c>
      <x:c r="D71" s="157" t="str">
        <x:v>mortgage</x:v>
      </x:c>
      <x:c r="E71" s="157" t="str">
        <x:v>secured</x:v>
      </x:c>
      <x:c r="F71" s="157" t="str">
        <x:v>B</x:v>
      </x:c>
      <x:c r="G71" s="157" t="n">
        <x:v>690</x:v>
      </x:c>
      <x:c r="H71" s="166" t="n">
        <x:v>39342916.97</x:v>
      </x:c>
      <x:c r="I71" s="162" t="n">
        <x:v>0.3852</x:v>
      </x:c>
      <x:c r="J71" s="162" t="n">
        <x:v>0.17218</x:v>
      </x:c>
      <x:c r="K71" s="157" t="str">
        <x:v>High</x:v>
      </x:c>
      <x:c r="L71" s="157" t="n">
        <x:v>4</x:v>
      </x:c>
      <x:c r="M71" s="157" t="str">
        <x:v>Manual Review</x:v>
      </x:c>
      <x:c r="N71" s="166" t="n">
        <x:v>2609369.24</x:v>
      </x:c>
      <x:c r="O71" s="157" t="n">
        <x:v>0</x:v>
      </x:c>
      <x:c r="P71" s="157" t="str">
        <x:v>test</x:v>
      </x:c>
    </x:row>
    <x:row r="72">
      <x:c r="A72" s="157" t="str">
        <x:v>L017576</x:v>
      </x:c>
      <x:c r="B72" s="165" t="n">
        <x:v>44835</x:v>
      </x:c>
      <x:c r="C72" s="157" t="str">
        <x:v>Healthcare</x:v>
      </x:c>
      <x:c r="D72" s="157" t="str">
        <x:v>term_loan</x:v>
      </x:c>
      <x:c r="E72" s="157" t="str">
        <x:v>secured</x:v>
      </x:c>
      <x:c r="F72" s="157" t="str">
        <x:v>BB</x:v>
      </x:c>
      <x:c r="G72" s="157" t="n">
        <x:v>688</x:v>
      </x:c>
      <x:c r="H72" s="166" t="n">
        <x:v>23183731.63</x:v>
      </x:c>
      <x:c r="I72" s="162" t="n">
        <x:v>0.5437</x:v>
      </x:c>
      <x:c r="J72" s="162" t="n">
        <x:v>0.205896</x:v>
      </x:c>
      <x:c r="K72" s="157" t="str">
        <x:v>High</x:v>
      </x:c>
      <x:c r="L72" s="157" t="n">
        <x:v>2</x:v>
      </x:c>
      <x:c r="M72" s="157" t="str">
        <x:v>Manual Review</x:v>
      </x:c>
      <x:c r="N72" s="166" t="n">
        <x:v>2595318.03</x:v>
      </x:c>
      <x:c r="O72" s="157" t="n">
        <x:v>0</x:v>
      </x:c>
      <x:c r="P72" s="157" t="str">
        <x:v>test</x:v>
      </x:c>
    </x:row>
    <x:row r="73">
      <x:c r="A73" s="157" t="str">
        <x:v>L027585</x:v>
      </x:c>
      <x:c r="B73" s="165" t="n">
        <x:v>44958</x:v>
      </x:c>
      <x:c r="C73" s="157" t="str">
        <x:v>Financials</x:v>
      </x:c>
      <x:c r="D73" s="157" t="str">
        <x:v>mortgage</x:v>
      </x:c>
      <x:c r="E73" s="157" t="str">
        <x:v>secured</x:v>
      </x:c>
      <x:c r="F73" s="157" t="str">
        <x:v>BB</x:v>
      </x:c>
      <x:c r="G73" s="157" t="n">
        <x:v>721</x:v>
      </x:c>
      <x:c r="H73" s="166" t="n">
        <x:v>24529952.55</x:v>
      </x:c>
      <x:c r="I73" s="162" t="n">
        <x:v>0.5379</x:v>
      </x:c>
      <x:c r="J73" s="162" t="n">
        <x:v>0.192278</x:v>
      </x:c>
      <x:c r="K73" s="157" t="str">
        <x:v>High</x:v>
      </x:c>
      <x:c r="L73" s="157" t="n">
        <x:v>3</x:v>
      </x:c>
      <x:c r="M73" s="157" t="str">
        <x:v>Manual Review</x:v>
      </x:c>
      <x:c r="N73" s="166" t="n">
        <x:v>2537043.12</x:v>
      </x:c>
      <x:c r="O73" s="157" t="n">
        <x:v>0</x:v>
      </x:c>
      <x:c r="P73" s="157" t="str">
        <x:v>test</x:v>
      </x:c>
    </x:row>
    <x:row r="74">
      <x:c r="A74" s="157" t="str">
        <x:v>L041801</x:v>
      </x:c>
      <x:c r="B74" s="165" t="n">
        <x:v>44927</x:v>
      </x:c>
      <x:c r="C74" s="157" t="str">
        <x:v>Technology</x:v>
      </x:c>
      <x:c r="D74" s="157" t="str">
        <x:v>term_loan</x:v>
      </x:c>
      <x:c r="E74" s="157" t="str">
        <x:v>unsecured</x:v>
      </x:c>
      <x:c r="F74" s="157" t="str">
        <x:v>CCC</x:v>
      </x:c>
      <x:c r="G74" s="157" t="n">
        <x:v>702</x:v>
      </x:c>
      <x:c r="H74" s="166" t="n">
        <x:v>7177925.55</x:v>
      </x:c>
      <x:c r="I74" s="162" t="n">
        <x:v>0.8346</x:v>
      </x:c>
      <x:c r="J74" s="162" t="n">
        <x:v>0.42043</x:v>
      </x:c>
      <x:c r="K74" s="157" t="str">
        <x:v>Very High</x:v>
      </x:c>
      <x:c r="L74" s="157" t="n">
        <x:v>1</x:v>
      </x:c>
      <x:c r="M74" s="157" t="str">
        <x:v>Manual Review</x:v>
      </x:c>
      <x:c r="N74" s="166" t="n">
        <x:v>2518668.6</x:v>
      </x:c>
      <x:c r="O74" s="157" t="n">
        <x:v>0</x:v>
      </x:c>
      <x:c r="P74" s="157" t="str">
        <x:v>test</x:v>
      </x:c>
    </x:row>
    <x:row r="75">
      <x:c r="A75" s="157" t="str">
        <x:v>L021965</x:v>
      </x:c>
      <x:c r="B75" s="165" t="n">
        <x:v>44743</x:v>
      </x:c>
      <x:c r="C75" s="157" t="str">
        <x:v>Financials</x:v>
      </x:c>
      <x:c r="D75" s="157" t="str">
        <x:v>mortgage</x:v>
      </x:c>
      <x:c r="E75" s="157" t="str">
        <x:v>unsecured</x:v>
      </x:c>
      <x:c r="F75" s="157" t="str">
        <x:v>CCC</x:v>
      </x:c>
      <x:c r="G75" s="157" t="n">
        <x:v>655</x:v>
      </x:c>
      <x:c r="H75" s="166" t="n">
        <x:v>9946684.2</x:v>
      </x:c>
      <x:c r="I75" s="162" t="n">
        <x:v>0.648</x:v>
      </x:c>
      <x:c r="J75" s="162" t="n">
        <x:v>0.390539</x:v>
      </x:c>
      <x:c r="K75" s="157" t="str">
        <x:v>Very High</x:v>
      </x:c>
      <x:c r="L75" s="157" t="n">
        <x:v>1</x:v>
      </x:c>
      <x:c r="M75" s="157" t="str">
        <x:v>Manual Review</x:v>
      </x:c>
      <x:c r="N75" s="166" t="n">
        <x:v>2517200.13</x:v>
      </x:c>
      <x:c r="O75" s="157" t="n">
        <x:v>1</x:v>
      </x:c>
      <x:c r="P75" s="157" t="str">
        <x:v>test</x:v>
      </x:c>
    </x:row>
    <x:row r="76">
      <x:c r="A76" s="157" t="str">
        <x:v>L013749</x:v>
      </x:c>
      <x:c r="B76" s="165" t="n">
        <x:v>44774</x:v>
      </x:c>
      <x:c r="C76" s="157" t="str">
        <x:v>Telecom</x:v>
      </x:c>
      <x:c r="D76" s="157" t="str">
        <x:v>term_loan</x:v>
      </x:c>
      <x:c r="E76" s="157" t="str">
        <x:v>partially_secured</x:v>
      </x:c>
      <x:c r="F76" s="157" t="str">
        <x:v>B</x:v>
      </x:c>
      <x:c r="G76" s="157" t="n">
        <x:v>660</x:v>
      </x:c>
      <x:c r="H76" s="166" t="n">
        <x:v>23802010.66</x:v>
      </x:c>
      <x:c r="I76" s="162" t="n">
        <x:v>0.5765</x:v>
      </x:c>
      <x:c r="J76" s="162" t="n">
        <x:v>0.181655</x:v>
      </x:c>
      <x:c r="K76" s="157" t="str">
        <x:v>High</x:v>
      </x:c>
      <x:c r="L76" s="157" t="n">
        <x:v>3</x:v>
      </x:c>
      <x:c r="M76" s="157" t="str">
        <x:v>Manual Review</x:v>
      </x:c>
      <x:c r="N76" s="166" t="n">
        <x:v>2492644.32</x:v>
      </x:c>
      <x:c r="O76" s="157" t="n">
        <x:v>0</x:v>
      </x:c>
      <x:c r="P76" s="157" t="str">
        <x:v>test</x:v>
      </x:c>
    </x:row>
    <x:row r="77">
      <x:c r="A77" s="157" t="str">
        <x:v>L031164</x:v>
      </x:c>
      <x:c r="B77" s="165" t="n">
        <x:v>44896</x:v>
      </x:c>
      <x:c r="C77" s="157" t="str">
        <x:v>Industrials</x:v>
      </x:c>
      <x:c r="D77" s="157" t="str">
        <x:v>term_loan</x:v>
      </x:c>
      <x:c r="E77" s="157" t="str">
        <x:v>unsecured</x:v>
      </x:c>
      <x:c r="F77" s="157" t="str">
        <x:v>CCC</x:v>
      </x:c>
      <x:c r="G77" s="157" t="n">
        <x:v>557</x:v>
      </x:c>
      <x:c r="H77" s="166" t="n">
        <x:v>7999312.65</x:v>
      </x:c>
      <x:c r="I77" s="162" t="n">
        <x:v>0.7117</x:v>
      </x:c>
      <x:c r="J77" s="162" t="n">
        <x:v>0.433859</x:v>
      </x:c>
      <x:c r="K77" s="157" t="str">
        <x:v>Very High</x:v>
      </x:c>
      <x:c r="L77" s="157" t="n">
        <x:v>1</x:v>
      </x:c>
      <x:c r="M77" s="157" t="str">
        <x:v>Manual Review</x:v>
      </x:c>
      <x:c r="N77" s="166" t="n">
        <x:v>2470007.36</x:v>
      </x:c>
      <x:c r="O77" s="157" t="n">
        <x:v>1</x:v>
      </x:c>
      <x:c r="P77" s="157" t="str">
        <x:v>test</x:v>
      </x:c>
    </x:row>
    <x:row r="78">
      <x:c r="A78" s="157" t="str">
        <x:v>L039854</x:v>
      </x:c>
      <x:c r="B78" s="165" t="n">
        <x:v>45078</x:v>
      </x:c>
      <x:c r="C78" s="157" t="str">
        <x:v>Financials</x:v>
      </x:c>
      <x:c r="D78" s="157" t="str">
        <x:v>revolving</x:v>
      </x:c>
      <x:c r="E78" s="157" t="str">
        <x:v>unsecured</x:v>
      </x:c>
      <x:c r="F78" s="157" t="str">
        <x:v>BB</x:v>
      </x:c>
      <x:c r="G78" s="157" t="n">
        <x:v>678</x:v>
      </x:c>
      <x:c r="H78" s="166" t="n">
        <x:v>19719469.64</x:v>
      </x:c>
      <x:c r="I78" s="162" t="n">
        <x:v>0.6288</x:v>
      </x:c>
      <x:c r="J78" s="162" t="n">
        <x:v>0.199142</x:v>
      </x:c>
      <x:c r="K78" s="157" t="str">
        <x:v>High</x:v>
      </x:c>
      <x:c r="L78" s="157" t="n">
        <x:v>3</x:v>
      </x:c>
      <x:c r="M78" s="157" t="str">
        <x:v>Manual Review</x:v>
      </x:c>
      <x:c r="N78" s="166" t="n">
        <x:v>2469281.64</x:v>
      </x:c>
      <x:c r="O78" s="157" t="n">
        <x:v>0</x:v>
      </x:c>
      <x:c r="P78" s="157" t="str">
        <x:v>test</x:v>
      </x:c>
    </x:row>
    <x:row r="79">
      <x:c r="A79" s="157" t="str">
        <x:v>L012407</x:v>
      </x:c>
      <x:c r="B79" s="165" t="n">
        <x:v>45078</x:v>
      </x:c>
      <x:c r="C79" s="157" t="str">
        <x:v>Real_Estate</x:v>
      </x:c>
      <x:c r="D79" s="157" t="str">
        <x:v>mortgage</x:v>
      </x:c>
      <x:c r="E79" s="157" t="str">
        <x:v>partially_secured</x:v>
      </x:c>
      <x:c r="F79" s="157" t="str">
        <x:v>CCC</x:v>
      </x:c>
      <x:c r="G79" s="157" t="n">
        <x:v>616</x:v>
      </x:c>
      <x:c r="H79" s="166" t="n">
        <x:v>16200254.67</x:v>
      </x:c>
      <x:c r="I79" s="162" t="n">
        <x:v>0.4216</x:v>
      </x:c>
      <x:c r="J79" s="162" t="n">
        <x:v>0.360922</x:v>
      </x:c>
      <x:c r="K79" s="157" t="str">
        <x:v>Very High</x:v>
      </x:c>
      <x:c r="L79" s="157" t="n">
        <x:v>1</x:v>
      </x:c>
      <x:c r="M79" s="157" t="str">
        <x:v>Manual Review</x:v>
      </x:c>
      <x:c r="N79" s="166" t="n">
        <x:v>2465107.14</x:v>
      </x:c>
      <x:c r="O79" s="157" t="n">
        <x:v>1</x:v>
      </x:c>
      <x:c r="P79" s="157" t="str">
        <x:v>test</x:v>
      </x:c>
    </x:row>
    <x:row r="80">
      <x:c r="A80" s="157" t="str">
        <x:v>L045399</x:v>
      </x:c>
      <x:c r="B80" s="165" t="n">
        <x:v>44774</x:v>
      </x:c>
      <x:c r="C80" s="157" t="str">
        <x:v>Telecom</x:v>
      </x:c>
      <x:c r="D80" s="157" t="str">
        <x:v>term_loan</x:v>
      </x:c>
      <x:c r="E80" s="157" t="str">
        <x:v>unsecured</x:v>
      </x:c>
      <x:c r="F80" s="157" t="str">
        <x:v>BBB</x:v>
      </x:c>
      <x:c r="G80" s="157" t="n">
        <x:v>673</x:v>
      </x:c>
      <x:c r="H80" s="166" t="n">
        <x:v>17208981.76</x:v>
      </x:c>
      <x:c r="I80" s="162" t="n">
        <x:v>0.8303</x:v>
      </x:c>
      <x:c r="J80" s="162" t="n">
        <x:v>0.170201</x:v>
      </x:c>
      <x:c r="K80" s="157" t="str">
        <x:v>High</x:v>
      </x:c>
      <x:c r="L80" s="157" t="n">
        <x:v>4</x:v>
      </x:c>
      <x:c r="M80" s="157" t="str">
        <x:v>Manual Review</x:v>
      </x:c>
      <x:c r="N80" s="166" t="n">
        <x:v>2431937</x:v>
      </x:c>
      <x:c r="O80" s="157" t="n">
        <x:v>0</x:v>
      </x:c>
      <x:c r="P80" s="157" t="str">
        <x:v>test</x:v>
      </x:c>
    </x:row>
    <x:row r="81">
      <x:c r="A81" s="157" t="str">
        <x:v>L031777</x:v>
      </x:c>
      <x:c r="B81" s="165" t="n">
        <x:v>44896</x:v>
      </x:c>
      <x:c r="C81" s="157" t="str">
        <x:v>Energy</x:v>
      </x:c>
      <x:c r="D81" s="157" t="str">
        <x:v>revolving</x:v>
      </x:c>
      <x:c r="E81" s="157" t="str">
        <x:v>partially_secured</x:v>
      </x:c>
      <x:c r="F81" s="157" t="str">
        <x:v>CCC</x:v>
      </x:c>
      <x:c r="G81" s="157" t="n">
        <x:v>682</x:v>
      </x:c>
      <x:c r="H81" s="166" t="n">
        <x:v>12060438.02</x:v>
      </x:c>
      <x:c r="I81" s="162" t="n">
        <x:v>0.4693</x:v>
      </x:c>
      <x:c r="J81" s="162" t="n">
        <x:v>0.428281</x:v>
      </x:c>
      <x:c r="K81" s="157" t="str">
        <x:v>Very High</x:v>
      </x:c>
      <x:c r="L81" s="157" t="n">
        <x:v>1</x:v>
      </x:c>
      <x:c r="M81" s="157" t="str">
        <x:v>Manual Review</x:v>
      </x:c>
      <x:c r="N81" s="166" t="n">
        <x:v>2424054.85</x:v>
      </x:c>
      <x:c r="O81" s="157" t="n">
        <x:v>0</x:v>
      </x:c>
      <x:c r="P81" s="157" t="str">
        <x:v>test</x:v>
      </x:c>
    </x:row>
    <x:row r="82">
      <x:c r="A82" s="157" t="str">
        <x:v>L029747</x:v>
      </x:c>
      <x:c r="B82" s="165" t="n">
        <x:v>44866</x:v>
      </x:c>
      <x:c r="C82" s="157" t="str">
        <x:v>Telecom</x:v>
      </x:c>
      <x:c r="D82" s="157" t="str">
        <x:v>term_loan</x:v>
      </x:c>
      <x:c r="E82" s="157" t="str">
        <x:v>unsecured</x:v>
      </x:c>
      <x:c r="F82" s="157" t="str">
        <x:v>CCC</x:v>
      </x:c>
      <x:c r="G82" s="157" t="n">
        <x:v>623</x:v>
      </x:c>
      <x:c r="H82" s="166" t="n">
        <x:v>10742938.76</x:v>
      </x:c>
      <x:c r="I82" s="162" t="n">
        <x:v>0.6709</x:v>
      </x:c>
      <x:c r="J82" s="162" t="n">
        <x:v>0.330256</x:v>
      </x:c>
      <x:c r="K82" s="157" t="str">
        <x:v>Very High</x:v>
      </x:c>
      <x:c r="L82" s="157" t="n">
        <x:v>1</x:v>
      </x:c>
      <x:c r="M82" s="157" t="str">
        <x:v>Manual Review</x:v>
      </x:c>
      <x:c r="N82" s="166" t="n">
        <x:v>2380299.52</x:v>
      </x:c>
      <x:c r="O82" s="157" t="n">
        <x:v>0</x:v>
      </x:c>
      <x:c r="P82" s="157" t="str">
        <x:v>test</x:v>
      </x:c>
    </x:row>
    <x:row r="83">
      <x:c r="A83" s="157" t="str">
        <x:v>L008576</x:v>
      </x:c>
      <x:c r="B83" s="165" t="n">
        <x:v>44986</x:v>
      </x:c>
      <x:c r="C83" s="157" t="str">
        <x:v>Industrials</x:v>
      </x:c>
      <x:c r="D83" s="157" t="str">
        <x:v>revolving</x:v>
      </x:c>
      <x:c r="E83" s="157" t="str">
        <x:v>secured</x:v>
      </x:c>
      <x:c r="F83" s="157" t="str">
        <x:v>CCC</x:v>
      </x:c>
      <x:c r="G83" s="157" t="n">
        <x:v>699</x:v>
      </x:c>
      <x:c r="H83" s="166" t="n">
        <x:v>17545066.62</x:v>
      </x:c>
      <x:c r="I83" s="162" t="n">
        <x:v>0.3224</x:v>
      </x:c>
      <x:c r="J83" s="162" t="n">
        <x:v>0.420422</x:v>
      </x:c>
      <x:c r="K83" s="157" t="str">
        <x:v>Very High</x:v>
      </x:c>
      <x:c r="L83" s="157" t="n">
        <x:v>1</x:v>
      </x:c>
      <x:c r="M83" s="157" t="str">
        <x:v>Manual Review</x:v>
      </x:c>
      <x:c r="N83" s="166" t="n">
        <x:v>2378129.44</x:v>
      </x:c>
      <x:c r="O83" s="157" t="n">
        <x:v>0</x:v>
      </x:c>
      <x:c r="P83" s="157" t="str">
        <x:v>test</x:v>
      </x:c>
    </x:row>
    <x:row r="84">
      <x:c r="A84" s="157" t="str">
        <x:v>L022407</x:v>
      </x:c>
      <x:c r="B84" s="165" t="n">
        <x:v>44986</x:v>
      </x:c>
      <x:c r="C84" s="157" t="str">
        <x:v>Industrials</x:v>
      </x:c>
      <x:c r="D84" s="157" t="str">
        <x:v>bond</x:v>
      </x:c>
      <x:c r="E84" s="157" t="str">
        <x:v>unsecured</x:v>
      </x:c>
      <x:c r="F84" s="157" t="str">
        <x:v>B</x:v>
      </x:c>
      <x:c r="G84" s="157" t="n">
        <x:v>689</x:v>
      </x:c>
      <x:c r="H84" s="166" t="n">
        <x:v>15481504.41</x:v>
      </x:c>
      <x:c r="I84" s="162" t="n">
        <x:v>0.761</x:v>
      </x:c>
      <x:c r="J84" s="162" t="n">
        <x:v>0.201603</x:v>
      </x:c>
      <x:c r="K84" s="157" t="str">
        <x:v>High</x:v>
      </x:c>
      <x:c r="L84" s="157" t="n">
        <x:v>3</x:v>
      </x:c>
      <x:c r="M84" s="157" t="str">
        <x:v>Manual Review</x:v>
      </x:c>
      <x:c r="N84" s="166" t="n">
        <x:v>2375170.6</x:v>
      </x:c>
      <x:c r="O84" s="157" t="n">
        <x:v>1</x:v>
      </x:c>
      <x:c r="P84" s="157" t="str">
        <x:v>test</x:v>
      </x:c>
    </x:row>
    <x:row r="85">
      <x:c r="A85" s="157" t="str">
        <x:v>L020085</x:v>
      </x:c>
      <x:c r="B85" s="165" t="n">
        <x:v>45261</x:v>
      </x:c>
      <x:c r="C85" s="157" t="str">
        <x:v>Energy</x:v>
      </x:c>
      <x:c r="D85" s="157" t="str">
        <x:v>revolving</x:v>
      </x:c>
      <x:c r="E85" s="157" t="str">
        <x:v>partially_secured</x:v>
      </x:c>
      <x:c r="F85" s="157" t="str">
        <x:v>CCC</x:v>
      </x:c>
      <x:c r="G85" s="157" t="n">
        <x:v>668</x:v>
      </x:c>
      <x:c r="H85" s="166" t="n">
        <x:v>10711172.44</x:v>
      </x:c>
      <x:c r="I85" s="162" t="n">
        <x:v>0.5778</x:v>
      </x:c>
      <x:c r="J85" s="162" t="n">
        <x:v>0.383686</x:v>
      </x:c>
      <x:c r="K85" s="157" t="str">
        <x:v>Very High</x:v>
      </x:c>
      <x:c r="L85" s="157" t="n">
        <x:v>1</x:v>
      </x:c>
      <x:c r="M85" s="157" t="str">
        <x:v>Manual Review</x:v>
      </x:c>
      <x:c r="N85" s="166" t="n">
        <x:v>2374600.21</x:v>
      </x:c>
      <x:c r="O85" s="157" t="n">
        <x:v>0</x:v>
      </x:c>
      <x:c r="P85" s="157" t="str">
        <x:v>test</x:v>
      </x:c>
    </x:row>
    <x:row r="86">
      <x:c r="A86" s="157" t="str">
        <x:v>L010189</x:v>
      </x:c>
      <x:c r="B86" s="165" t="n">
        <x:v>45047</x:v>
      </x:c>
      <x:c r="C86" s="157" t="str">
        <x:v>Telecom</x:v>
      </x:c>
      <x:c r="D86" s="157" t="str">
        <x:v>bond</x:v>
      </x:c>
      <x:c r="E86" s="157" t="str">
        <x:v>secured</x:v>
      </x:c>
      <x:c r="F86" s="157" t="str">
        <x:v>BBB</x:v>
      </x:c>
      <x:c r="G86" s="157" t="n">
        <x:v>756</x:v>
      </x:c>
      <x:c r="H86" s="166" t="n">
        <x:v>34789175.1</x:v>
      </x:c>
      <x:c r="I86" s="162" t="n">
        <x:v>0.3985</x:v>
      </x:c>
      <x:c r="J86" s="162" t="n">
        <x:v>0.171086</x:v>
      </x:c>
      <x:c r="K86" s="157" t="str">
        <x:v>High</x:v>
      </x:c>
      <x:c r="L86" s="157" t="n">
        <x:v>4</x:v>
      </x:c>
      <x:c r="M86" s="157" t="str">
        <x:v>Manual Review</x:v>
      </x:c>
      <x:c r="N86" s="166" t="n">
        <x:v>2371848.41</x:v>
      </x:c>
      <x:c r="O86" s="157" t="n">
        <x:v>0</x:v>
      </x:c>
      <x:c r="P86" s="157" t="str">
        <x:v>test</x:v>
      </x:c>
    </x:row>
    <x:row r="87">
      <x:c r="A87" s="157" t="str">
        <x:v>L007617</x:v>
      </x:c>
      <x:c r="B87" s="165" t="n">
        <x:v>44896</x:v>
      </x:c>
      <x:c r="C87" s="157" t="str">
        <x:v>Healthcare</x:v>
      </x:c>
      <x:c r="D87" s="157" t="str">
        <x:v>bond</x:v>
      </x:c>
      <x:c r="E87" s="157" t="str">
        <x:v>unsecured</x:v>
      </x:c>
      <x:c r="F87" s="157" t="str">
        <x:v>CCC</x:v>
      </x:c>
      <x:c r="G87" s="157" t="n">
        <x:v>677</x:v>
      </x:c>
      <x:c r="H87" s="166" t="n">
        <x:v>10180095.07</x:v>
      </x:c>
      <x:c r="I87" s="162" t="n">
        <x:v>0.7287</x:v>
      </x:c>
      <x:c r="J87" s="162" t="n">
        <x:v>0.314971</x:v>
      </x:c>
      <x:c r="K87" s="157" t="str">
        <x:v>Very High</x:v>
      </x:c>
      <x:c r="L87" s="157" t="n">
        <x:v>1</x:v>
      </x:c>
      <x:c r="M87" s="157" t="str">
        <x:v>Manual Review</x:v>
      </x:c>
      <x:c r="N87" s="166" t="n">
        <x:v>2336528.98</x:v>
      </x:c>
      <x:c r="O87" s="157" t="n">
        <x:v>0</x:v>
      </x:c>
      <x:c r="P87" s="157" t="str">
        <x:v>test</x:v>
      </x:c>
    </x:row>
    <x:row r="88">
      <x:c r="A88" s="157" t="str">
        <x:v>L014411</x:v>
      </x:c>
      <x:c r="B88" s="165" t="n">
        <x:v>44682</x:v>
      </x:c>
      <x:c r="C88" s="157" t="str">
        <x:v>Utilities</x:v>
      </x:c>
      <x:c r="D88" s="157" t="str">
        <x:v>mortgage</x:v>
      </x:c>
      <x:c r="E88" s="157" t="str">
        <x:v>unsecured</x:v>
      </x:c>
      <x:c r="F88" s="157" t="str">
        <x:v>BB</x:v>
      </x:c>
      <x:c r="G88" s="157" t="n">
        <x:v>654</x:v>
      </x:c>
      <x:c r="H88" s="166" t="n">
        <x:v>20610565.05</x:v>
      </x:c>
      <x:c r="I88" s="162" t="n">
        <x:v>0.5128</x:v>
      </x:c>
      <x:c r="J88" s="162" t="n">
        <x:v>0.218385</x:v>
      </x:c>
      <x:c r="K88" s="157" t="str">
        <x:v>High</x:v>
      </x:c>
      <x:c r="L88" s="157" t="n">
        <x:v>2</x:v>
      </x:c>
      <x:c r="M88" s="157" t="str">
        <x:v>Manual Review</x:v>
      </x:c>
      <x:c r="N88" s="166" t="n">
        <x:v>2308132.41</x:v>
      </x:c>
      <x:c r="O88" s="157" t="n">
        <x:v>0</x:v>
      </x:c>
      <x:c r="P88" s="157" t="str">
        <x:v>test</x:v>
      </x:c>
    </x:row>
    <x:row r="89">
      <x:c r="A89" s="157" t="str">
        <x:v>L014764</x:v>
      </x:c>
      <x:c r="B89" s="165" t="n">
        <x:v>44986</x:v>
      </x:c>
      <x:c r="C89" s="157" t="str">
        <x:v>Real_Estate</x:v>
      </x:c>
      <x:c r="D89" s="157" t="str">
        <x:v>revolving</x:v>
      </x:c>
      <x:c r="E89" s="157" t="str">
        <x:v>unsecured</x:v>
      </x:c>
      <x:c r="F89" s="157" t="str">
        <x:v>CCC</x:v>
      </x:c>
      <x:c r="G89" s="157" t="n">
        <x:v>660</x:v>
      </x:c>
      <x:c r="H89" s="166" t="n">
        <x:v>13213693.48</x:v>
      </x:c>
      <x:c r="I89" s="162" t="n">
        <x:v>0.448</x:v>
      </x:c>
      <x:c r="J89" s="162" t="n">
        <x:v>0.386383</x:v>
      </x:c>
      <x:c r="K89" s="157" t="str">
        <x:v>Very High</x:v>
      </x:c>
      <x:c r="L89" s="157" t="n">
        <x:v>1</x:v>
      </x:c>
      <x:c r="M89" s="157" t="str">
        <x:v>Manual Review</x:v>
      </x:c>
      <x:c r="N89" s="166" t="n">
        <x:v>2287284.84</x:v>
      </x:c>
      <x:c r="O89" s="157" t="n">
        <x:v>1</x:v>
      </x:c>
      <x:c r="P89" s="157" t="str">
        <x:v>test</x:v>
      </x:c>
    </x:row>
    <x:row r="90">
      <x:c r="A90" s="157" t="str">
        <x:v>L041231</x:v>
      </x:c>
      <x:c r="B90" s="165" t="n">
        <x:v>44774</x:v>
      </x:c>
      <x:c r="C90" s="157" t="str">
        <x:v>Consumer</x:v>
      </x:c>
      <x:c r="D90" s="157" t="str">
        <x:v>lease</x:v>
      </x:c>
      <x:c r="E90" s="157" t="str">
        <x:v>unsecured</x:v>
      </x:c>
      <x:c r="F90" s="157" t="str">
        <x:v>BB</x:v>
      </x:c>
      <x:c r="G90" s="157" t="n">
        <x:v>664</x:v>
      </x:c>
      <x:c r="H90" s="166" t="n">
        <x:v>16029408</x:v>
      </x:c>
      <x:c r="I90" s="162" t="n">
        <x:v>0.7528</x:v>
      </x:c>
      <x:c r="J90" s="162" t="n">
        <x:v>0.189483</x:v>
      </x:c>
      <x:c r="K90" s="157" t="str">
        <x:v>High</x:v>
      </x:c>
      <x:c r="L90" s="157" t="n">
        <x:v>3</x:v>
      </x:c>
      <x:c r="M90" s="157" t="str">
        <x:v>Manual Review</x:v>
      </x:c>
      <x:c r="N90" s="166" t="n">
        <x:v>2286479.68</x:v>
      </x:c>
      <x:c r="O90" s="157" t="n">
        <x:v>0</x:v>
      </x:c>
      <x:c r="P90" s="157" t="str">
        <x:v>test</x:v>
      </x:c>
    </x:row>
    <x:row r="91">
      <x:c r="A91" s="157" t="str">
        <x:v>L035696</x:v>
      </x:c>
      <x:c r="B91" s="165" t="n">
        <x:v>44562</x:v>
      </x:c>
      <x:c r="C91" s="157" t="str">
        <x:v>Financials</x:v>
      </x:c>
      <x:c r="D91" s="157" t="str">
        <x:v>revolving</x:v>
      </x:c>
      <x:c r="E91" s="157" t="str">
        <x:v>unsecured</x:v>
      </x:c>
      <x:c r="F91" s="157" t="str">
        <x:v>CCC</x:v>
      </x:c>
      <x:c r="G91" s="157" t="n">
        <x:v>639</x:v>
      </x:c>
      <x:c r="H91" s="166" t="n">
        <x:v>9326886.39</x:v>
      </x:c>
      <x:c r="I91" s="162" t="n">
        <x:v>0.7365</x:v>
      </x:c>
      <x:c r="J91" s="162" t="n">
        <x:v>0.332052</x:v>
      </x:c>
      <x:c r="K91" s="157" t="str">
        <x:v>Very High</x:v>
      </x:c>
      <x:c r="L91" s="157" t="n">
        <x:v>1</x:v>
      </x:c>
      <x:c r="M91" s="157" t="str">
        <x:v>Manual Review</x:v>
      </x:c>
      <x:c r="N91" s="166" t="n">
        <x:v>2280948.81</x:v>
      </x:c>
      <x:c r="O91" s="157" t="n">
        <x:v>0</x:v>
      </x:c>
      <x:c r="P91" s="157" t="str">
        <x:v>test</x:v>
      </x:c>
    </x:row>
    <x:row r="92">
      <x:c r="A92" s="157" t="str">
        <x:v>L035920</x:v>
      </x:c>
      <x:c r="B92" s="165" t="n">
        <x:v>45200</x:v>
      </x:c>
      <x:c r="C92" s="157" t="str">
        <x:v>Financials</x:v>
      </x:c>
      <x:c r="D92" s="157" t="str">
        <x:v>term_loan</x:v>
      </x:c>
      <x:c r="E92" s="157" t="str">
        <x:v>partially_secured</x:v>
      </x:c>
      <x:c r="F92" s="157" t="str">
        <x:v>BBB</x:v>
      </x:c>
      <x:c r="G92" s="157" t="n">
        <x:v>673</x:v>
      </x:c>
      <x:c r="H92" s="166" t="n">
        <x:v>20467918.26</x:v>
      </x:c>
      <x:c r="I92" s="162" t="n">
        <x:v>0.5961</x:v>
      </x:c>
      <x:c r="J92" s="162" t="n">
        <x:v>0.186857</x:v>
      </x:c>
      <x:c r="K92" s="157" t="str">
        <x:v>High</x:v>
      </x:c>
      <x:c r="L92" s="157" t="n">
        <x:v>3</x:v>
      </x:c>
      <x:c r="M92" s="157" t="str">
        <x:v>Manual Review</x:v>
      </x:c>
      <x:c r="N92" s="166" t="n">
        <x:v>2279828.44</x:v>
      </x:c>
      <x:c r="O92" s="157" t="n">
        <x:v>0</x:v>
      </x:c>
      <x:c r="P92" s="157" t="str">
        <x:v>test</x:v>
      </x:c>
    </x:row>
    <x:row r="93">
      <x:c r="A93" s="157" t="str">
        <x:v>L042094</x:v>
      </x:c>
      <x:c r="B93" s="165" t="n">
        <x:v>45231</x:v>
      </x:c>
      <x:c r="C93" s="157" t="str">
        <x:v>Real_Estate</x:v>
      </x:c>
      <x:c r="D93" s="157" t="str">
        <x:v>revolving</x:v>
      </x:c>
      <x:c r="E93" s="157" t="str">
        <x:v>unsecured</x:v>
      </x:c>
      <x:c r="F93" s="157" t="str">
        <x:v>B</x:v>
      </x:c>
      <x:c r="G93" s="157" t="n">
        <x:v>684</x:v>
      </x:c>
      <x:c r="H93" s="166" t="n">
        <x:v>22742215.32</x:v>
      </x:c>
      <x:c r="I93" s="162" t="n">
        <x:v>0.5616</x:v>
      </x:c>
      <x:c r="J93" s="162" t="n">
        <x:v>0.17633</x:v>
      </x:c>
      <x:c r="K93" s="157" t="str">
        <x:v>High</x:v>
      </x:c>
      <x:c r="L93" s="157" t="n">
        <x:v>4</x:v>
      </x:c>
      <x:c r="M93" s="157" t="str">
        <x:v>Manual Review</x:v>
      </x:c>
      <x:c r="N93" s="166" t="n">
        <x:v>2252091.72</x:v>
      </x:c>
      <x:c r="O93" s="157" t="n">
        <x:v>0</x:v>
      </x:c>
      <x:c r="P93" s="157" t="str">
        <x:v>test</x:v>
      </x:c>
    </x:row>
    <x:row r="94">
      <x:c r="A94" s="157" t="str">
        <x:v>L037291</x:v>
      </x:c>
      <x:c r="B94" s="165" t="n">
        <x:v>45170</x:v>
      </x:c>
      <x:c r="C94" s="157" t="str">
        <x:v>Utilities</x:v>
      </x:c>
      <x:c r="D94" s="157" t="str">
        <x:v>mortgage</x:v>
      </x:c>
      <x:c r="E94" s="157" t="str">
        <x:v>secured</x:v>
      </x:c>
      <x:c r="F94" s="157" t="str">
        <x:v>B</x:v>
      </x:c>
      <x:c r="G94" s="157" t="n">
        <x:v>635</x:v>
      </x:c>
      <x:c r="H94" s="166" t="n">
        <x:v>15445113</x:v>
      </x:c>
      <x:c r="I94" s="162" t="n">
        <x:v>0.6038</x:v>
      </x:c>
      <x:c r="J94" s="162" t="n">
        <x:v>0.240909</x:v>
      </x:c>
      <x:c r="K94" s="157" t="str">
        <x:v>High</x:v>
      </x:c>
      <x:c r="L94" s="157" t="n">
        <x:v>2</x:v>
      </x:c>
      <x:c r="M94" s="157" t="str">
        <x:v>Manual Review</x:v>
      </x:c>
      <x:c r="N94" s="166" t="n">
        <x:v>2246659.33</x:v>
      </x:c>
      <x:c r="O94" s="157" t="n">
        <x:v>0</x:v>
      </x:c>
      <x:c r="P94" s="157" t="str">
        <x:v>test</x:v>
      </x:c>
    </x:row>
    <x:row r="95">
      <x:c r="A95" s="157" t="str">
        <x:v>L042507</x:v>
      </x:c>
      <x:c r="B95" s="165" t="n">
        <x:v>45139</x:v>
      </x:c>
      <x:c r="C95" s="157" t="str">
        <x:v>Retail</x:v>
      </x:c>
      <x:c r="D95" s="157" t="str">
        <x:v>mortgage</x:v>
      </x:c>
      <x:c r="E95" s="157" t="str">
        <x:v>secured</x:v>
      </x:c>
      <x:c r="F95" s="157" t="str">
        <x:v>B</x:v>
      </x:c>
      <x:c r="G95" s="157" t="n">
        <x:v>676</x:v>
      </x:c>
      <x:c r="H95" s="166" t="n">
        <x:v>15688327.22</x:v>
      </x:c>
      <x:c r="I95" s="162" t="n">
        <x:v>0.5948</x:v>
      </x:c>
      <x:c r="J95" s="162" t="n">
        <x:v>0.24044</x:v>
      </x:c>
      <x:c r="K95" s="157" t="str">
        <x:v>High</x:v>
      </x:c>
      <x:c r="L95" s="157" t="n">
        <x:v>2</x:v>
      </x:c>
      <x:c r="M95" s="157" t="str">
        <x:v>Manual Review</x:v>
      </x:c>
      <x:c r="N95" s="166" t="n">
        <x:v>2243645.91</x:v>
      </x:c>
      <x:c r="O95" s="157" t="n">
        <x:v>0</x:v>
      </x:c>
      <x:c r="P95" s="157" t="str">
        <x:v>test</x:v>
      </x:c>
    </x:row>
    <x:row r="96">
      <x:c r="A96" s="157" t="str">
        <x:v>L038097</x:v>
      </x:c>
      <x:c r="B96" s="165" t="n">
        <x:v>44652</x:v>
      </x:c>
      <x:c r="C96" s="157" t="str">
        <x:v>Real_Estate</x:v>
      </x:c>
      <x:c r="D96" s="157" t="str">
        <x:v>mortgage</x:v>
      </x:c>
      <x:c r="E96" s="157" t="str">
        <x:v>secured</x:v>
      </x:c>
      <x:c r="F96" s="157" t="str">
        <x:v>BB</x:v>
      </x:c>
      <x:c r="G96" s="157" t="n">
        <x:v>668</x:v>
      </x:c>
      <x:c r="H96" s="166" t="n">
        <x:v>27383450.77</x:v>
      </x:c>
      <x:c r="I96" s="162" t="n">
        <x:v>0.4067</x:v>
      </x:c>
      <x:c r="J96" s="162" t="n">
        <x:v>0.197238</x:v>
      </x:c>
      <x:c r="K96" s="157" t="str">
        <x:v>High</x:v>
      </x:c>
      <x:c r="L96" s="157" t="n">
        <x:v>3</x:v>
      </x:c>
      <x:c r="M96" s="157" t="str">
        <x:v>Manual Review</x:v>
      </x:c>
      <x:c r="N96" s="166" t="n">
        <x:v>2196609.91</x:v>
      </x:c>
      <x:c r="O96" s="157" t="n">
        <x:v>0</x:v>
      </x:c>
      <x:c r="P96" s="157" t="str">
        <x:v>test</x:v>
      </x:c>
    </x:row>
    <x:row r="97">
      <x:c r="A97" s="157" t="str">
        <x:v>L003164</x:v>
      </x:c>
      <x:c r="B97" s="165" t="n">
        <x:v>45170</x:v>
      </x:c>
      <x:c r="C97" s="157" t="str">
        <x:v>Real_Estate</x:v>
      </x:c>
      <x:c r="D97" s="157" t="str">
        <x:v>revolving</x:v>
      </x:c>
      <x:c r="E97" s="157" t="str">
        <x:v>secured</x:v>
      </x:c>
      <x:c r="F97" s="157" t="str">
        <x:v>B</x:v>
      </x:c>
      <x:c r="G97" s="157" t="n">
        <x:v>684</x:v>
      </x:c>
      <x:c r="H97" s="166" t="n">
        <x:v>16510156.97</x:v>
      </x:c>
      <x:c r="I97" s="162" t="n">
        <x:v>0.4926</x:v>
      </x:c>
      <x:c r="J97" s="162" t="n">
        <x:v>0.268793</x:v>
      </x:c>
      <x:c r="K97" s="157" t="str">
        <x:v>High</x:v>
      </x:c>
      <x:c r="L97" s="157" t="n">
        <x:v>2</x:v>
      </x:c>
      <x:c r="M97" s="157" t="str">
        <x:v>Manual Review</x:v>
      </x:c>
      <x:c r="N97" s="166" t="n">
        <x:v>2186067.48</x:v>
      </x:c>
      <x:c r="O97" s="157" t="n">
        <x:v>0</x:v>
      </x:c>
      <x:c r="P97" s="157" t="str">
        <x:v>test</x:v>
      </x:c>
    </x:row>
    <x:row r="98">
      <x:c r="A98" s="157" t="str">
        <x:v>L010811</x:v>
      </x:c>
      <x:c r="B98" s="165" t="n">
        <x:v>44866</x:v>
      </x:c>
      <x:c r="C98" s="157" t="str">
        <x:v>Financials</x:v>
      </x:c>
      <x:c r="D98" s="157" t="str">
        <x:v>revolving</x:v>
      </x:c>
      <x:c r="E98" s="157" t="str">
        <x:v>partially_secured</x:v>
      </x:c>
      <x:c r="F98" s="157" t="str">
        <x:v>CCC</x:v>
      </x:c>
      <x:c r="G98" s="157" t="n">
        <x:v>618</x:v>
      </x:c>
      <x:c r="H98" s="166" t="n">
        <x:v>8214509.29</x:v>
      </x:c>
      <x:c r="I98" s="162" t="n">
        <x:v>0.663</x:v>
      </x:c>
      <x:c r="J98" s="162" t="n">
        <x:v>0.399839</x:v>
      </x:c>
      <x:c r="K98" s="157" t="str">
        <x:v>Very High</x:v>
      </x:c>
      <x:c r="L98" s="157" t="n">
        <x:v>1</x:v>
      </x:c>
      <x:c r="M98" s="157" t="str">
        <x:v>Manual Review</x:v>
      </x:c>
      <x:c r="N98" s="166" t="n">
        <x:v>2177611.02</x:v>
      </x:c>
      <x:c r="O98" s="157" t="n">
        <x:v>0</x:v>
      </x:c>
      <x:c r="P98" s="157" t="str">
        <x:v>test</x:v>
      </x:c>
    </x:row>
    <x:row r="99">
      <x:c r="A99" s="157" t="str">
        <x:v>L019427</x:v>
      </x:c>
      <x:c r="B99" s="165" t="n">
        <x:v>44927</x:v>
      </x:c>
      <x:c r="C99" s="157" t="str">
        <x:v>Real_Estate</x:v>
      </x:c>
      <x:c r="D99" s="157" t="str">
        <x:v>mortgage</x:v>
      </x:c>
      <x:c r="E99" s="157" t="str">
        <x:v>unsecured</x:v>
      </x:c>
      <x:c r="F99" s="157" t="str">
        <x:v>B</x:v>
      </x:c>
      <x:c r="G99" s="157" t="n">
        <x:v>633</x:v>
      </x:c>
      <x:c r="H99" s="166" t="n">
        <x:v>24234054.54</x:v>
      </x:c>
      <x:c r="I99" s="162" t="n">
        <x:v>0.5128</x:v>
      </x:c>
      <x:c r="J99" s="162" t="n">
        <x:v>0.175011</x:v>
      </x:c>
      <x:c r="K99" s="157" t="str">
        <x:v>High</x:v>
      </x:c>
      <x:c r="L99" s="157" t="n">
        <x:v>4</x:v>
      </x:c>
      <x:c r="M99" s="157" t="str">
        <x:v>Manual Review</x:v>
      </x:c>
      <x:c r="N99" s="166" t="n">
        <x:v>2174900.75</x:v>
      </x:c>
      <x:c r="O99" s="157" t="n">
        <x:v>0</x:v>
      </x:c>
      <x:c r="P99" s="157" t="str">
        <x:v>test</x:v>
      </x:c>
    </x:row>
    <x:row r="100">
      <x:c r="A100" s="157" t="str">
        <x:v>L043652</x:v>
      </x:c>
      <x:c r="B100" s="165" t="n">
        <x:v>44682</x:v>
      </x:c>
      <x:c r="C100" s="157" t="str">
        <x:v>Telecom</x:v>
      </x:c>
      <x:c r="D100" s="157" t="str">
        <x:v>revolving</x:v>
      </x:c>
      <x:c r="E100" s="157" t="str">
        <x:v>unsecured</x:v>
      </x:c>
      <x:c r="F100" s="157" t="str">
        <x:v>BB</x:v>
      </x:c>
      <x:c r="G100" s="157" t="n">
        <x:v>680</x:v>
      </x:c>
      <x:c r="H100" s="166" t="n">
        <x:v>14535197.21</x:v>
      </x:c>
      <x:c r="I100" s="162" t="n">
        <x:v>0.7205</x:v>
      </x:c>
      <x:c r="J100" s="162" t="n">
        <x:v>0.207067</x:v>
      </x:c>
      <x:c r="K100" s="157" t="str">
        <x:v>High</x:v>
      </x:c>
      <x:c r="L100" s="157" t="n">
        <x:v>2</x:v>
      </x:c>
      <x:c r="M100" s="157" t="str">
        <x:v>Manual Review</x:v>
      </x:c>
      <x:c r="N100" s="166" t="n">
        <x:v>2168531.85</x:v>
      </x:c>
      <x:c r="O100" s="157" t="n">
        <x:v>0</x:v>
      </x:c>
      <x:c r="P100" s="157" t="str">
        <x:v>test</x:v>
      </x:c>
    </x:row>
    <x:row r="101">
      <x:c r="A101" s="157" t="str">
        <x:v>L006422</x:v>
      </x:c>
      <x:c r="B101" s="165" t="n">
        <x:v>44986</x:v>
      </x:c>
      <x:c r="C101" s="157" t="str">
        <x:v>Industrials</x:v>
      </x:c>
      <x:c r="D101" s="157" t="str">
        <x:v>term_loan</x:v>
      </x:c>
      <x:c r="E101" s="157" t="str">
        <x:v>partially_secured</x:v>
      </x:c>
      <x:c r="F101" s="157" t="str">
        <x:v>B</x:v>
      </x:c>
      <x:c r="G101" s="157" t="n">
        <x:v>700</x:v>
      </x:c>
      <x:c r="H101" s="166" t="n">
        <x:v>17351445.02</x:v>
      </x:c>
      <x:c r="I101" s="162" t="n">
        <x:v>0.5252</x:v>
      </x:c>
      <x:c r="J101" s="162" t="n">
        <x:v>0.236152</x:v>
      </x:c>
      <x:c r="K101" s="157" t="str">
        <x:v>High</x:v>
      </x:c>
      <x:c r="L101" s="157" t="n">
        <x:v>2</x:v>
      </x:c>
      <x:c r="M101" s="157" t="str">
        <x:v>Manual Review</x:v>
      </x:c>
      <x:c r="N101" s="166" t="n">
        <x:v>2152048.2</x:v>
      </x:c>
      <x:c r="O101" s="157" t="n">
        <x:v>0</x:v>
      </x:c>
      <x:c r="P101" s="157" t="str">
        <x:v>test</x:v>
      </x:c>
    </x:row>
    <x:row r="102">
      <x:c r="A102" s="157" t="str">
        <x:v>L039178</x:v>
      </x:c>
      <x:c r="B102" s="165" t="n">
        <x:v>45200</x:v>
      </x:c>
      <x:c r="C102" s="157" t="str">
        <x:v>Financials</x:v>
      </x:c>
      <x:c r="D102" s="157" t="str">
        <x:v>term_loan</x:v>
      </x:c>
      <x:c r="E102" s="157" t="str">
        <x:v>partially_secured</x:v>
      </x:c>
      <x:c r="F102" s="157" t="str">
        <x:v>BB</x:v>
      </x:c>
      <x:c r="G102" s="157" t="n">
        <x:v>732</x:v>
      </x:c>
      <x:c r="H102" s="166" t="n">
        <x:v>18901928.76</x:v>
      </x:c>
      <x:c r="I102" s="162" t="n">
        <x:v>0.6431</x:v>
      </x:c>
      <x:c r="J102" s="162" t="n">
        <x:v>0.17621</x:v>
      </x:c>
      <x:c r="K102" s="157" t="str">
        <x:v>High</x:v>
      </x:c>
      <x:c r="L102" s="157" t="n">
        <x:v>4</x:v>
      </x:c>
      <x:c r="M102" s="157" t="str">
        <x:v>Manual Review</x:v>
      </x:c>
      <x:c r="N102" s="166" t="n">
        <x:v>2141978.87</x:v>
      </x:c>
      <x:c r="O102" s="157" t="n">
        <x:v>0</x:v>
      </x:c>
      <x:c r="P102" s="157" t="str">
        <x:v>test</x:v>
      </x:c>
    </x:row>
    <x:row r="103">
      <x:c r="A103" s="157" t="str">
        <x:v>L042675</x:v>
      </x:c>
      <x:c r="B103" s="165" t="n">
        <x:v>44958</x:v>
      </x:c>
      <x:c r="C103" s="157" t="str">
        <x:v>Utilities</x:v>
      </x:c>
      <x:c r="D103" s="157" t="str">
        <x:v>bond</x:v>
      </x:c>
      <x:c r="E103" s="157" t="str">
        <x:v>secured</x:v>
      </x:c>
      <x:c r="F103" s="157" t="str">
        <x:v>BB</x:v>
      </x:c>
      <x:c r="G103" s="157" t="n">
        <x:v>686</x:v>
      </x:c>
      <x:c r="H103" s="166" t="n">
        <x:v>30934974.65</x:v>
      </x:c>
      <x:c r="I103" s="162" t="n">
        <x:v>0.3343</x:v>
      </x:c>
      <x:c r="J103" s="162" t="n">
        <x:v>0.203778</x:v>
      </x:c>
      <x:c r="K103" s="157" t="str">
        <x:v>High</x:v>
      </x:c>
      <x:c r="L103" s="157" t="n">
        <x:v>2</x:v>
      </x:c>
      <x:c r="M103" s="157" t="str">
        <x:v>Manual Review</x:v>
      </x:c>
      <x:c r="N103" s="166" t="n">
        <x:v>2107382.83</x:v>
      </x:c>
      <x:c r="O103" s="157" t="n">
        <x:v>0</x:v>
      </x:c>
      <x:c r="P103" s="157" t="str">
        <x:v>test</x:v>
      </x:c>
    </x:row>
    <x:row r="104">
      <x:c r="A104" s="157" t="str">
        <x:v>L010479</x:v>
      </x:c>
      <x:c r="B104" s="165" t="n">
        <x:v>45017</x:v>
      </x:c>
      <x:c r="C104" s="157" t="str">
        <x:v>Energy</x:v>
      </x:c>
      <x:c r="D104" s="157" t="str">
        <x:v>revolving</x:v>
      </x:c>
      <x:c r="E104" s="157" t="str">
        <x:v>secured</x:v>
      </x:c>
      <x:c r="F104" s="157" t="str">
        <x:v>CCC</x:v>
      </x:c>
      <x:c r="G104" s="157" t="n">
        <x:v>664</x:v>
      </x:c>
      <x:c r="H104" s="166" t="n">
        <x:v>10807129.94</x:v>
      </x:c>
      <x:c r="I104" s="162" t="n">
        <x:v>0.4349</x:v>
      </x:c>
      <x:c r="J104" s="162" t="n">
        <x:v>0.447617</x:v>
      </x:c>
      <x:c r="K104" s="157" t="str">
        <x:v>Very High</x:v>
      </x:c>
      <x:c r="L104" s="157" t="n">
        <x:v>1</x:v>
      </x:c>
      <x:c r="M104" s="157" t="str">
        <x:v>Manual Review</x:v>
      </x:c>
      <x:c r="N104" s="166" t="n">
        <x:v>2103809.22</x:v>
      </x:c>
      <x:c r="O104" s="157" t="n">
        <x:v>1</x:v>
      </x:c>
      <x:c r="P104" s="157" t="str">
        <x:v>test</x:v>
      </x:c>
    </x:row>
    <x:row r="105">
      <x:c r="A105" s="157" t="str">
        <x:v>L004513</x:v>
      </x:c>
      <x:c r="B105" s="165" t="n">
        <x:v>45261</x:v>
      </x:c>
      <x:c r="C105" s="157" t="str">
        <x:v>Real_Estate</x:v>
      </x:c>
      <x:c r="D105" s="157" t="str">
        <x:v>bond</x:v>
      </x:c>
      <x:c r="E105" s="157" t="str">
        <x:v>unsecured</x:v>
      </x:c>
      <x:c r="F105" s="157" t="str">
        <x:v>CCC</x:v>
      </x:c>
      <x:c r="G105" s="157" t="n">
        <x:v>673</x:v>
      </x:c>
      <x:c r="H105" s="166" t="n">
        <x:v>14401829.21</x:v>
      </x:c>
      <x:c r="I105" s="162" t="n">
        <x:v>0.4942</x:v>
      </x:c>
      <x:c r="J105" s="162" t="n">
        <x:v>0.294862</x:v>
      </x:c>
      <x:c r="K105" s="157" t="str">
        <x:v>High</x:v>
      </x:c>
      <x:c r="L105" s="157" t="n">
        <x:v>1</x:v>
      </x:c>
      <x:c r="M105" s="157" t="str">
        <x:v>Manual Review</x:v>
      </x:c>
      <x:c r="N105" s="166" t="n">
        <x:v>2098646.08</x:v>
      </x:c>
      <x:c r="O105" s="157" t="n">
        <x:v>1</x:v>
      </x:c>
      <x:c r="P105" s="157" t="str">
        <x:v>test</x:v>
      </x:c>
    </x:row>
    <x:row r="106">
      <x:c r="A106" s="157" t="str">
        <x:v>L049704</x:v>
      </x:c>
      <x:c r="B106" s="165" t="n">
        <x:v>45231</x:v>
      </x:c>
      <x:c r="C106" s="157" t="str">
        <x:v>Financials</x:v>
      </x:c>
      <x:c r="D106" s="157" t="str">
        <x:v>mortgage</x:v>
      </x:c>
      <x:c r="E106" s="157" t="str">
        <x:v>secured</x:v>
      </x:c>
      <x:c r="F106" s="157" t="str">
        <x:v>BB</x:v>
      </x:c>
      <x:c r="G106" s="157" t="n">
        <x:v>679</x:v>
      </x:c>
      <x:c r="H106" s="166" t="n">
        <x:v>33930282.86</x:v>
      </x:c>
      <x:c r="I106" s="162" t="n">
        <x:v>0.3097</x:v>
      </x:c>
      <x:c r="J106" s="162" t="n">
        <x:v>0.198742</x:v>
      </x:c>
      <x:c r="K106" s="157" t="str">
        <x:v>High</x:v>
      </x:c>
      <x:c r="L106" s="157" t="n">
        <x:v>3</x:v>
      </x:c>
      <x:c r="M106" s="157" t="str">
        <x:v>Manual Review</x:v>
      </x:c>
      <x:c r="N106" s="166" t="n">
        <x:v>2088422.39</x:v>
      </x:c>
      <x:c r="O106" s="157" t="n">
        <x:v>1</x:v>
      </x:c>
      <x:c r="P106" s="157" t="str">
        <x:v>test</x:v>
      </x:c>
    </x:row>
    <x:row r="107">
      <x:c r="A107" s="157" t="str">
        <x:v>L027868</x:v>
      </x:c>
      <x:c r="B107" s="165" t="n">
        <x:v>45231</x:v>
      </x:c>
      <x:c r="C107" s="157" t="str">
        <x:v>Financials</x:v>
      </x:c>
      <x:c r="D107" s="157" t="str">
        <x:v>revolving</x:v>
      </x:c>
      <x:c r="E107" s="157" t="str">
        <x:v>unsecured</x:v>
      </x:c>
      <x:c r="F107" s="157" t="str">
        <x:v>CCC</x:v>
      </x:c>
      <x:c r="G107" s="157" t="n">
        <x:v>615</x:v>
      </x:c>
      <x:c r="H107" s="166" t="n">
        <x:v>7824337.82</x:v>
      </x:c>
      <x:c r="I107" s="162" t="n">
        <x:v>0.5764</x:v>
      </x:c>
      <x:c r="J107" s="162" t="n">
        <x:v>0.462545</x:v>
      </x:c>
      <x:c r="K107" s="157" t="str">
        <x:v>Very High</x:v>
      </x:c>
      <x:c r="L107" s="157" t="n">
        <x:v>1</x:v>
      </x:c>
      <x:c r="M107" s="157" t="str">
        <x:v>Manual Review</x:v>
      </x:c>
      <x:c r="N107" s="166" t="n">
        <x:v>2086054.05</x:v>
      </x:c>
      <x:c r="O107" s="157" t="n">
        <x:v>1</x:v>
      </x:c>
      <x:c r="P107" s="157" t="str">
        <x:v>test</x:v>
      </x:c>
    </x:row>
    <x:row r="108">
      <x:c r="A108" s="157" t="str">
        <x:v>L032188</x:v>
      </x:c>
      <x:c r="B108" s="165" t="n">
        <x:v>45231</x:v>
      </x:c>
      <x:c r="C108" s="157" t="str">
        <x:v>Financials</x:v>
      </x:c>
      <x:c r="D108" s="157" t="str">
        <x:v>term_loan</x:v>
      </x:c>
      <x:c r="E108" s="157" t="str">
        <x:v>secured</x:v>
      </x:c>
      <x:c r="F108" s="157" t="str">
        <x:v>CCC</x:v>
      </x:c>
      <x:c r="G108" s="157" t="n">
        <x:v>660</x:v>
      </x:c>
      <x:c r="H108" s="166" t="n">
        <x:v>16597088.46</x:v>
      </x:c>
      <x:c r="I108" s="162" t="n">
        <x:v>0.2962</x:v>
      </x:c>
      <x:c r="J108" s="162" t="n">
        <x:v>0.423139</x:v>
      </x:c>
      <x:c r="K108" s="157" t="str">
        <x:v>Very High</x:v>
      </x:c>
      <x:c r="L108" s="157" t="n">
        <x:v>1</x:v>
      </x:c>
      <x:c r="M108" s="157" t="str">
        <x:v>Manual Review</x:v>
      </x:c>
      <x:c r="N108" s="166" t="n">
        <x:v>2080175.7</x:v>
      </x:c>
      <x:c r="O108" s="157" t="n">
        <x:v>0</x:v>
      </x:c>
      <x:c r="P108" s="157" t="str">
        <x:v>test</x:v>
      </x:c>
    </x:row>
    <x:row r="109">
      <x:c r="A109" s="157" t="str">
        <x:v>L029210</x:v>
      </x:c>
      <x:c r="B109" s="165" t="n">
        <x:v>44927</x:v>
      </x:c>
      <x:c r="C109" s="157" t="str">
        <x:v>Industrials</x:v>
      </x:c>
      <x:c r="D109" s="157" t="str">
        <x:v>mortgage</x:v>
      </x:c>
      <x:c r="E109" s="157" t="str">
        <x:v>unsecured</x:v>
      </x:c>
      <x:c r="F109" s="157" t="str">
        <x:v>B</x:v>
      </x:c>
      <x:c r="G109" s="157" t="n">
        <x:v>706</x:v>
      </x:c>
      <x:c r="H109" s="166" t="n">
        <x:v>10468824.58</x:v>
      </x:c>
      <x:c r="I109" s="162" t="n">
        <x:v>0.8342</x:v>
      </x:c>
      <x:c r="J109" s="162" t="n">
        <x:v>0.237254</x:v>
      </x:c>
      <x:c r="K109" s="157" t="str">
        <x:v>High</x:v>
      </x:c>
      <x:c r="L109" s="157" t="n">
        <x:v>2</x:v>
      </x:c>
      <x:c r="M109" s="157" t="str">
        <x:v>Manual Review</x:v>
      </x:c>
      <x:c r="N109" s="166" t="n">
        <x:v>2071961.36</x:v>
      </x:c>
      <x:c r="O109" s="157" t="n">
        <x:v>0</x:v>
      </x:c>
      <x:c r="P109" s="157" t="str">
        <x:v>test</x:v>
      </x:c>
    </x:row>
    <x:row r="110">
      <x:c r="A110" s="157" t="str">
        <x:v>L040812</x:v>
      </x:c>
      <x:c r="B110" s="165" t="n">
        <x:v>44562</x:v>
      </x:c>
      <x:c r="C110" s="157" t="str">
        <x:v>Technology</x:v>
      </x:c>
      <x:c r="D110" s="157" t="str">
        <x:v>term_loan</x:v>
      </x:c>
      <x:c r="E110" s="157" t="str">
        <x:v>secured</x:v>
      </x:c>
      <x:c r="F110" s="157" t="str">
        <x:v>CCC</x:v>
      </x:c>
      <x:c r="G110" s="157" t="n">
        <x:v>619</x:v>
      </x:c>
      <x:c r="H110" s="166" t="n">
        <x:v>14376163.95</x:v>
      </x:c>
      <x:c r="I110" s="162" t="n">
        <x:v>0.757</x:v>
      </x:c>
      <x:c r="J110" s="162" t="n">
        <x:v>0.190061</x:v>
      </x:c>
      <x:c r="K110" s="157" t="str">
        <x:v>High</x:v>
      </x:c>
      <x:c r="L110" s="157" t="n">
        <x:v>3</x:v>
      </x:c>
      <x:c r="M110" s="157" t="str">
        <x:v>Manual Review</x:v>
      </x:c>
      <x:c r="N110" s="166" t="n">
        <x:v>2068387.51</x:v>
      </x:c>
      <x:c r="O110" s="157" t="n">
        <x:v>0</x:v>
      </x:c>
      <x:c r="P110" s="157" t="str">
        <x:v>test</x:v>
      </x:c>
    </x:row>
    <x:row r="111">
      <x:c r="A111" s="157" t="str">
        <x:v>L003384</x:v>
      </x:c>
      <x:c r="B111" s="165" t="n">
        <x:v>45047</x:v>
      </x:c>
      <x:c r="C111" s="157" t="str">
        <x:v>Financials</x:v>
      </x:c>
      <x:c r="D111" s="157" t="str">
        <x:v>term_loan</x:v>
      </x:c>
      <x:c r="E111" s="157" t="str">
        <x:v>unsecured</x:v>
      </x:c>
      <x:c r="F111" s="157" t="str">
        <x:v>CCC</x:v>
      </x:c>
      <x:c r="G111" s="157" t="n">
        <x:v>635</x:v>
      </x:c>
      <x:c r="H111" s="166" t="n">
        <x:v>7139198.18</x:v>
      </x:c>
      <x:c r="I111" s="162" t="n">
        <x:v>0.876</x:v>
      </x:c>
      <x:c r="J111" s="162" t="n">
        <x:v>0.328927</x:v>
      </x:c>
      <x:c r="K111" s="157" t="str">
        <x:v>Very High</x:v>
      </x:c>
      <x:c r="L111" s="157" t="n">
        <x:v>1</x:v>
      </x:c>
      <x:c r="M111" s="157" t="str">
        <x:v>Manual Review</x:v>
      </x:c>
      <x:c r="N111" s="166" t="n">
        <x:v>2057088.93</x:v>
      </x:c>
      <x:c r="O111" s="157" t="n">
        <x:v>1</x:v>
      </x:c>
      <x:c r="P111" s="157" t="str">
        <x:v>test</x:v>
      </x:c>
    </x:row>
    <x:row r="112">
      <x:c r="A112" s="157" t="str">
        <x:v>L001448</x:v>
      </x:c>
      <x:c r="B112" s="165" t="n">
        <x:v>44682</x:v>
      </x:c>
      <x:c r="C112" s="157" t="str">
        <x:v>Telecom</x:v>
      </x:c>
      <x:c r="D112" s="157" t="str">
        <x:v>mortgage</x:v>
      </x:c>
      <x:c r="E112" s="157" t="str">
        <x:v>partially_secured</x:v>
      </x:c>
      <x:c r="F112" s="157" t="str">
        <x:v>B</x:v>
      </x:c>
      <x:c r="G112" s="157" t="n">
        <x:v>696</x:v>
      </x:c>
      <x:c r="H112" s="166" t="n">
        <x:v>12907471.76</x:v>
      </x:c>
      <x:c r="I112" s="162" t="n">
        <x:v>0.7197</x:v>
      </x:c>
      <x:c r="J112" s="162" t="n">
        <x:v>0.221075</x:v>
      </x:c>
      <x:c r="K112" s="157" t="str">
        <x:v>High</x:v>
      </x:c>
      <x:c r="L112" s="157" t="n">
        <x:v>2</x:v>
      </x:c>
      <x:c r="M112" s="157" t="str">
        <x:v>Manual Review</x:v>
      </x:c>
      <x:c r="N112" s="166" t="n">
        <x:v>2053677.85</x:v>
      </x:c>
      <x:c r="O112" s="157" t="n">
        <x:v>0</x:v>
      </x:c>
      <x:c r="P112" s="157" t="str">
        <x:v>test</x:v>
      </x:c>
    </x:row>
    <x:row r="113">
      <x:c r="A113" s="157" t="str">
        <x:v>L014073</x:v>
      </x:c>
      <x:c r="B113" s="165" t="n">
        <x:v>44652</x:v>
      </x:c>
      <x:c r="C113" s="157" t="str">
        <x:v>Energy</x:v>
      </x:c>
      <x:c r="D113" s="157" t="str">
        <x:v>revolving</x:v>
      </x:c>
      <x:c r="E113" s="157" t="str">
        <x:v>secured</x:v>
      </x:c>
      <x:c r="F113" s="157" t="str">
        <x:v>B</x:v>
      </x:c>
      <x:c r="G113" s="157" t="n">
        <x:v>701</x:v>
      </x:c>
      <x:c r="H113" s="166" t="n">
        <x:v>21130032.14</x:v>
      </x:c>
      <x:c r="I113" s="162" t="n">
        <x:v>0.5455</x:v>
      </x:c>
      <x:c r="J113" s="162" t="n">
        <x:v>0.176498</x:v>
      </x:c>
      <x:c r="K113" s="157" t="str">
        <x:v>High</x:v>
      </x:c>
      <x:c r="L113" s="157" t="n">
        <x:v>4</x:v>
      </x:c>
      <x:c r="M113" s="157" t="str">
        <x:v>Manual Review</x:v>
      </x:c>
      <x:c r="N113" s="166" t="n">
        <x:v>2034392.29</x:v>
      </x:c>
      <x:c r="O113" s="157" t="n">
        <x:v>1</x:v>
      </x:c>
      <x:c r="P113" s="157" t="str">
        <x:v>test</x:v>
      </x:c>
    </x:row>
    <x:row r="114">
      <x:c r="A114" s="157" t="str">
        <x:v>L024174</x:v>
      </x:c>
      <x:c r="B114" s="165" t="n">
        <x:v>44652</x:v>
      </x:c>
      <x:c r="C114" s="157" t="str">
        <x:v>Healthcare</x:v>
      </x:c>
      <x:c r="D114" s="157" t="str">
        <x:v>term_loan</x:v>
      </x:c>
      <x:c r="E114" s="157" t="str">
        <x:v>secured</x:v>
      </x:c>
      <x:c r="F114" s="157" t="str">
        <x:v>BB</x:v>
      </x:c>
      <x:c r="G114" s="157" t="n">
        <x:v>692</x:v>
      </x:c>
      <x:c r="H114" s="166" t="n">
        <x:v>20708300.26</x:v>
      </x:c>
      <x:c r="I114" s="162" t="n">
        <x:v>0.5531</x:v>
      </x:c>
      <x:c r="J114" s="162" t="n">
        <x:v>0.176422</x:v>
      </x:c>
      <x:c r="K114" s="157" t="str">
        <x:v>High</x:v>
      </x:c>
      <x:c r="L114" s="157" t="n">
        <x:v>4</x:v>
      </x:c>
      <x:c r="M114" s="157" t="str">
        <x:v>Manual Review</x:v>
      </x:c>
      <x:c r="N114" s="166" t="n">
        <x:v>2020695.4</x:v>
      </x:c>
      <x:c r="O114" s="157" t="n">
        <x:v>0</x:v>
      </x:c>
      <x:c r="P114" s="157" t="str">
        <x:v>test</x:v>
      </x:c>
    </x:row>
    <x:row r="115">
      <x:c r="A115" s="157" t="str">
        <x:v>L043855</x:v>
      </x:c>
      <x:c r="B115" s="165" t="n">
        <x:v>44927</x:v>
      </x:c>
      <x:c r="C115" s="157" t="str">
        <x:v>Financials</x:v>
      </x:c>
      <x:c r="D115" s="157" t="str">
        <x:v>term_loan</x:v>
      </x:c>
      <x:c r="E115" s="157" t="str">
        <x:v>unsecured</x:v>
      </x:c>
      <x:c r="F115" s="157" t="str">
        <x:v>CCC</x:v>
      </x:c>
      <x:c r="G115" s="157" t="n">
        <x:v>674</x:v>
      </x:c>
      <x:c r="H115" s="166" t="n">
        <x:v>11636295.56</x:v>
      </x:c>
      <x:c r="I115" s="162" t="n">
        <x:v>0.4587</x:v>
      </x:c>
      <x:c r="J115" s="162" t="n">
        <x:v>0.374446</x:v>
      </x:c>
      <x:c r="K115" s="157" t="str">
        <x:v>Very High</x:v>
      </x:c>
      <x:c r="L115" s="157" t="n">
        <x:v>1</x:v>
      </x:c>
      <x:c r="M115" s="157" t="str">
        <x:v>Manual Review</x:v>
      </x:c>
      <x:c r="N115" s="166" t="n">
        <x:v>1998631.28</x:v>
      </x:c>
      <x:c r="O115" s="157" t="n">
        <x:v>0</x:v>
      </x:c>
      <x:c r="P115" s="157" t="str">
        <x:v>test</x:v>
      </x:c>
    </x:row>
    <x:row r="116">
      <x:c r="A116" s="157" t="str">
        <x:v>L004910</x:v>
      </x:c>
      <x:c r="B116" s="165" t="n">
        <x:v>44652</x:v>
      </x:c>
      <x:c r="C116" s="157" t="str">
        <x:v>Financials</x:v>
      </x:c>
      <x:c r="D116" s="157" t="str">
        <x:v>mortgage</x:v>
      </x:c>
      <x:c r="E116" s="157" t="str">
        <x:v>partially_secured</x:v>
      </x:c>
      <x:c r="F116" s="157" t="str">
        <x:v>CCC</x:v>
      </x:c>
      <x:c r="G116" s="157" t="n">
        <x:v>654</x:v>
      </x:c>
      <x:c r="H116" s="166" t="n">
        <x:v>18153216.95</x:v>
      </x:c>
      <x:c r="I116" s="162" t="n">
        <x:v>0.5024</x:v>
      </x:c>
      <x:c r="J116" s="162" t="n">
        <x:v>0.218784</x:v>
      </x:c>
      <x:c r="K116" s="157" t="str">
        <x:v>High</x:v>
      </x:c>
      <x:c r="L116" s="157" t="n">
        <x:v>2</x:v>
      </x:c>
      <x:c r="M116" s="157" t="str">
        <x:v>Manual Review</x:v>
      </x:c>
      <x:c r="N116" s="166" t="n">
        <x:v>1995348.63</x:v>
      </x:c>
      <x:c r="O116" s="157" t="n">
        <x:v>0</x:v>
      </x:c>
      <x:c r="P116" s="157" t="str">
        <x:v>test</x:v>
      </x:c>
    </x:row>
    <x:row r="117">
      <x:c r="A117" s="157" t="str">
        <x:v>L035476</x:v>
      </x:c>
      <x:c r="B117" s="165" t="n">
        <x:v>45078</x:v>
      </x:c>
      <x:c r="C117" s="157" t="str">
        <x:v>Financials</x:v>
      </x:c>
      <x:c r="D117" s="157" t="str">
        <x:v>term_loan</x:v>
      </x:c>
      <x:c r="E117" s="157" t="str">
        <x:v>secured</x:v>
      </x:c>
      <x:c r="F117" s="157" t="str">
        <x:v>BBB</x:v>
      </x:c>
      <x:c r="G117" s="157" t="n">
        <x:v>767</x:v>
      </x:c>
      <x:c r="H117" s="166" t="n">
        <x:v>28888174.47</x:v>
      </x:c>
      <x:c r="I117" s="162" t="n">
        <x:v>0.3832</x:v>
      </x:c>
      <x:c r="J117" s="162" t="n">
        <x:v>0.179827</x:v>
      </x:c>
      <x:c r="K117" s="157" t="str">
        <x:v>High</x:v>
      </x:c>
      <x:c r="L117" s="157" t="n">
        <x:v>3</x:v>
      </x:c>
      <x:c r="M117" s="157" t="str">
        <x:v>Manual Review</x:v>
      </x:c>
      <x:c r="N117" s="166" t="n">
        <x:v>1990675.62</x:v>
      </x:c>
      <x:c r="O117" s="157" t="n">
        <x:v>0</x:v>
      </x:c>
      <x:c r="P117" s="157" t="str">
        <x:v>test</x:v>
      </x:c>
    </x:row>
    <x:row r="118">
      <x:c r="A118" s="157" t="str">
        <x:v>L021296</x:v>
      </x:c>
      <x:c r="B118" s="165" t="n">
        <x:v>45047</x:v>
      </x:c>
      <x:c r="C118" s="157" t="str">
        <x:v>Telecom</x:v>
      </x:c>
      <x:c r="D118" s="157" t="str">
        <x:v>term_loan</x:v>
      </x:c>
      <x:c r="E118" s="157" t="str">
        <x:v>partially_secured</x:v>
      </x:c>
      <x:c r="F118" s="157" t="str">
        <x:v>BBB</x:v>
      </x:c>
      <x:c r="G118" s="157" t="n">
        <x:v>737</x:v>
      </x:c>
      <x:c r="H118" s="166" t="n">
        <x:v>22089959.5</x:v>
      </x:c>
      <x:c r="I118" s="162" t="n">
        <x:v>0.5274</x:v>
      </x:c>
      <x:c r="J118" s="162" t="n">
        <x:v>0.170868</x:v>
      </x:c>
      <x:c r="K118" s="157" t="str">
        <x:v>High</x:v>
      </x:c>
      <x:c r="L118" s="157" t="n">
        <x:v>4</x:v>
      </x:c>
      <x:c r="M118" s="157" t="str">
        <x:v>Manual Review</x:v>
      </x:c>
      <x:c r="N118" s="166" t="n">
        <x:v>1990654</x:v>
      </x:c>
      <x:c r="O118" s="157" t="n">
        <x:v>0</x:v>
      </x:c>
      <x:c r="P118" s="157" t="str">
        <x:v>test</x:v>
      </x:c>
    </x:row>
    <x:row r="119">
      <x:c r="A119" s="157" t="str">
        <x:v>L012862</x:v>
      </x:c>
      <x:c r="B119" s="165" t="n">
        <x:v>44896</x:v>
      </x:c>
      <x:c r="C119" s="157" t="str">
        <x:v>Technology</x:v>
      </x:c>
      <x:c r="D119" s="157" t="str">
        <x:v>mortgage</x:v>
      </x:c>
      <x:c r="E119" s="157" t="str">
        <x:v>secured</x:v>
      </x:c>
      <x:c r="F119" s="157" t="str">
        <x:v>BB</x:v>
      </x:c>
      <x:c r="G119" s="157" t="n">
        <x:v>648</x:v>
      </x:c>
      <x:c r="H119" s="166" t="n">
        <x:v>27106065.23</x:v>
      </x:c>
      <x:c r="I119" s="162" t="n">
        <x:v>0.3811</x:v>
      </x:c>
      <x:c r="J119" s="162" t="n">
        <x:v>0.191197</x:v>
      </x:c>
      <x:c r="K119" s="157" t="str">
        <x:v>High</x:v>
      </x:c>
      <x:c r="L119" s="157" t="n">
        <x:v>3</x:v>
      </x:c>
      <x:c r="M119" s="157" t="str">
        <x:v>Manual Review</x:v>
      </x:c>
      <x:c r="N119" s="166" t="n">
        <x:v>1975088.23</x:v>
      </x:c>
      <x:c r="O119" s="157" t="n">
        <x:v>0</x:v>
      </x:c>
      <x:c r="P119" s="157" t="str">
        <x:v>test</x:v>
      </x:c>
    </x:row>
    <x:row r="120">
      <x:c r="A120" s="157" t="str">
        <x:v>L044544</x:v>
      </x:c>
      <x:c r="B120" s="165" t="n">
        <x:v>45261</x:v>
      </x:c>
      <x:c r="C120" s="157" t="str">
        <x:v>Utilities</x:v>
      </x:c>
      <x:c r="D120" s="157" t="str">
        <x:v>revolving</x:v>
      </x:c>
      <x:c r="E120" s="157" t="str">
        <x:v>secured</x:v>
      </x:c>
      <x:c r="F120" s="157" t="str">
        <x:v>B</x:v>
      </x:c>
      <x:c r="G120" s="157" t="n">
        <x:v>695</x:v>
      </x:c>
      <x:c r="H120" s="166" t="n">
        <x:v>23214753.39</x:v>
      </x:c>
      <x:c r="I120" s="162" t="n">
        <x:v>0.3733</x:v>
      </x:c>
      <x:c r="J120" s="162" t="n">
        <x:v>0.226242</x:v>
      </x:c>
      <x:c r="K120" s="157" t="str">
        <x:v>High</x:v>
      </x:c>
      <x:c r="L120" s="157" t="n">
        <x:v>2</x:v>
      </x:c>
      <x:c r="M120" s="157" t="str">
        <x:v>Manual Review</x:v>
      </x:c>
      <x:c r="N120" s="166" t="n">
        <x:v>1960628.43</x:v>
      </x:c>
      <x:c r="O120" s="157" t="n">
        <x:v>0</x:v>
      </x:c>
      <x:c r="P120" s="157" t="str">
        <x:v>test</x:v>
      </x:c>
    </x:row>
    <x:row r="121">
      <x:c r="A121" s="157" t="str">
        <x:v>L033235</x:v>
      </x:c>
      <x:c r="B121" s="165" t="n">
        <x:v>44621</x:v>
      </x:c>
      <x:c r="C121" s="157" t="str">
        <x:v>Telecom</x:v>
      </x:c>
      <x:c r="D121" s="157" t="str">
        <x:v>bond</x:v>
      </x:c>
      <x:c r="E121" s="157" t="str">
        <x:v>secured</x:v>
      </x:c>
      <x:c r="F121" s="157" t="str">
        <x:v>B</x:v>
      </x:c>
      <x:c r="G121" s="157" t="n">
        <x:v>661</x:v>
      </x:c>
      <x:c r="H121" s="166" t="n">
        <x:v>17403733.84</x:v>
      </x:c>
      <x:c r="I121" s="162" t="n">
        <x:v>0.4742</x:v>
      </x:c>
      <x:c r="J121" s="162" t="n">
        <x:v>0.237116</x:v>
      </x:c>
      <x:c r="K121" s="157" t="str">
        <x:v>High</x:v>
      </x:c>
      <x:c r="L121" s="157" t="n">
        <x:v>2</x:v>
      </x:c>
      <x:c r="M121" s="157" t="str">
        <x:v>Manual Review</x:v>
      </x:c>
      <x:c r="N121" s="166" t="n">
        <x:v>1956882.92</x:v>
      </x:c>
      <x:c r="O121" s="157" t="n">
        <x:v>0</x:v>
      </x:c>
      <x:c r="P121" s="157" t="str">
        <x:v>test</x:v>
      </x:c>
    </x:row>
    <x:row r="122">
      <x:c r="A122" s="157" t="str">
        <x:v>L018591</x:v>
      </x:c>
      <x:c r="B122" s="165" t="n">
        <x:v>44652</x:v>
      </x:c>
      <x:c r="C122" s="157" t="str">
        <x:v>Industrials</x:v>
      </x:c>
      <x:c r="D122" s="157" t="str">
        <x:v>revolving</x:v>
      </x:c>
      <x:c r="E122" s="157" t="str">
        <x:v>secured</x:v>
      </x:c>
      <x:c r="F122" s="157" t="str">
        <x:v>B</x:v>
      </x:c>
      <x:c r="G122" s="157" t="n">
        <x:v>652</x:v>
      </x:c>
      <x:c r="H122" s="166" t="n">
        <x:v>13114941.82</x:v>
      </x:c>
      <x:c r="I122" s="162" t="n">
        <x:v>0.6055</x:v>
      </x:c>
      <x:c r="J122" s="162" t="n">
        <x:v>0.246014</x:v>
      </x:c>
      <x:c r="K122" s="157" t="str">
        <x:v>High</x:v>
      </x:c>
      <x:c r="L122" s="157" t="n">
        <x:v>2</x:v>
      </x:c>
      <x:c r="M122" s="157" t="str">
        <x:v>Manual Review</x:v>
      </x:c>
      <x:c r="N122" s="166" t="n">
        <x:v>1953621.1</x:v>
      </x:c>
      <x:c r="O122" s="157" t="n">
        <x:v>0</x:v>
      </x:c>
      <x:c r="P122" s="157" t="str">
        <x:v>test</x:v>
      </x:c>
    </x:row>
    <x:row r="123">
      <x:c r="A123" s="157" t="str">
        <x:v>L000909</x:v>
      </x:c>
      <x:c r="B123" s="165" t="n">
        <x:v>44774</x:v>
      </x:c>
      <x:c r="C123" s="157" t="str">
        <x:v>Energy</x:v>
      </x:c>
      <x:c r="D123" s="157" t="str">
        <x:v>term_loan</x:v>
      </x:c>
      <x:c r="E123" s="157" t="str">
        <x:v>unsecured</x:v>
      </x:c>
      <x:c r="F123" s="157" t="str">
        <x:v>CCC</x:v>
      </x:c>
      <x:c r="G123" s="157" t="n">
        <x:v>663</x:v>
      </x:c>
      <x:c r="H123" s="166" t="n">
        <x:v>5915827.49</x:v>
      </x:c>
      <x:c r="I123" s="162" t="n">
        <x:v>0.7259</x:v>
      </x:c>
      <x:c r="J123" s="162" t="n">
        <x:v>0.453621</x:v>
      </x:c>
      <x:c r="K123" s="157" t="str">
        <x:v>Very High</x:v>
      </x:c>
      <x:c r="L123" s="157" t="n">
        <x:v>1</x:v>
      </x:c>
      <x:c r="M123" s="157" t="str">
        <x:v>Manual Review</x:v>
      </x:c>
      <x:c r="N123" s="166" t="n">
        <x:v>1947984.29</x:v>
      </x:c>
      <x:c r="O123" s="157" t="n">
        <x:v>1</x:v>
      </x:c>
      <x:c r="P123" s="157" t="str">
        <x:v>test</x:v>
      </x:c>
    </x:row>
    <x:row r="124">
      <x:c r="A124" s="157" t="str">
        <x:v>L019590</x:v>
      </x:c>
      <x:c r="B124" s="165" t="n">
        <x:v>44927</x:v>
      </x:c>
      <x:c r="C124" s="157" t="str">
        <x:v>Energy</x:v>
      </x:c>
      <x:c r="D124" s="157" t="str">
        <x:v>term_loan</x:v>
      </x:c>
      <x:c r="E124" s="157" t="str">
        <x:v>unsecured</x:v>
      </x:c>
      <x:c r="F124" s="157" t="str">
        <x:v>B</x:v>
      </x:c>
      <x:c r="G124" s="157" t="n">
        <x:v>688</x:v>
      </x:c>
      <x:c r="H124" s="166" t="n">
        <x:v>14388324.37</x:v>
      </x:c>
      <x:c r="I124" s="162" t="n">
        <x:v>0.4988</x:v>
      </x:c>
      <x:c r="J124" s="162" t="n">
        <x:v>0.270267</x:v>
      </x:c>
      <x:c r="K124" s="157" t="str">
        <x:v>High</x:v>
      </x:c>
      <x:c r="L124" s="157" t="n">
        <x:v>1</x:v>
      </x:c>
      <x:c r="M124" s="157" t="str">
        <x:v>Manual Review</x:v>
      </x:c>
      <x:c r="N124" s="166" t="n">
        <x:v>1939678.2</x:v>
      </x:c>
      <x:c r="O124" s="157" t="n">
        <x:v>0</x:v>
      </x:c>
      <x:c r="P124" s="157" t="str">
        <x:v>test</x:v>
      </x:c>
    </x:row>
    <x:row r="125">
      <x:c r="A125" s="157" t="str">
        <x:v>L026360</x:v>
      </x:c>
      <x:c r="B125" s="165" t="n">
        <x:v>45170</x:v>
      </x:c>
      <x:c r="C125" s="157" t="str">
        <x:v>Industrials</x:v>
      </x:c>
      <x:c r="D125" s="157" t="str">
        <x:v>mortgage</x:v>
      </x:c>
      <x:c r="E125" s="157" t="str">
        <x:v>unsecured</x:v>
      </x:c>
      <x:c r="F125" s="157" t="str">
        <x:v>BB</x:v>
      </x:c>
      <x:c r="G125" s="157" t="n">
        <x:v>683</x:v>
      </x:c>
      <x:c r="H125" s="166" t="n">
        <x:v>21232952.48</x:v>
      </x:c>
      <x:c r="I125" s="162" t="n">
        <x:v>0.4698</x:v>
      </x:c>
      <x:c r="J125" s="162" t="n">
        <x:v>0.194328</x:v>
      </x:c>
      <x:c r="K125" s="157" t="str">
        <x:v>High</x:v>
      </x:c>
      <x:c r="L125" s="157" t="n">
        <x:v>3</x:v>
      </x:c>
      <x:c r="M125" s="157" t="str">
        <x:v>Manual Review</x:v>
      </x:c>
      <x:c r="N125" s="166" t="n">
        <x:v>1938468.65</x:v>
      </x:c>
      <x:c r="O125" s="157" t="n">
        <x:v>0</x:v>
      </x:c>
      <x:c r="P125" s="157" t="str">
        <x:v>test</x:v>
      </x:c>
    </x:row>
    <x:row r="126">
      <x:c r="A126" s="157" t="str">
        <x:v>L039829</x:v>
      </x:c>
      <x:c r="B126" s="165" t="n">
        <x:v>45200</x:v>
      </x:c>
      <x:c r="C126" s="157" t="str">
        <x:v>Industrials</x:v>
      </x:c>
      <x:c r="D126" s="157" t="str">
        <x:v>term_loan</x:v>
      </x:c>
      <x:c r="E126" s="157" t="str">
        <x:v>partially_secured</x:v>
      </x:c>
      <x:c r="F126" s="157" t="str">
        <x:v>BBB</x:v>
      </x:c>
      <x:c r="G126" s="157" t="n">
        <x:v>684</x:v>
      </x:c>
      <x:c r="H126" s="166" t="n">
        <x:v>19622368.09</x:v>
      </x:c>
      <x:c r="I126" s="162" t="n">
        <x:v>0.5</x:v>
      </x:c>
      <x:c r="J126" s="162" t="n">
        <x:v>0.197441</x:v>
      </x:c>
      <x:c r="K126" s="157" t="str">
        <x:v>High</x:v>
      </x:c>
      <x:c r="L126" s="157" t="n">
        <x:v>3</x:v>
      </x:c>
      <x:c r="M126" s="157" t="str">
        <x:v>Manual Review</x:v>
      </x:c>
      <x:c r="N126" s="166" t="n">
        <x:v>1937129.99</x:v>
      </x:c>
      <x:c r="O126" s="157" t="n">
        <x:v>0</x:v>
      </x:c>
      <x:c r="P126" s="157" t="str">
        <x:v>test</x:v>
      </x:c>
    </x:row>
    <x:row r="127">
      <x:c r="A127" s="157" t="str">
        <x:v>L047194</x:v>
      </x:c>
      <x:c r="B127" s="165" t="n">
        <x:v>45047</x:v>
      </x:c>
      <x:c r="C127" s="157" t="str">
        <x:v>Technology</x:v>
      </x:c>
      <x:c r="D127" s="157" t="str">
        <x:v>lease</x:v>
      </x:c>
      <x:c r="E127" s="157" t="str">
        <x:v>unsecured</x:v>
      </x:c>
      <x:c r="F127" s="157" t="str">
        <x:v>CCC</x:v>
      </x:c>
      <x:c r="G127" s="157" t="n">
        <x:v>656</x:v>
      </x:c>
      <x:c r="H127" s="166" t="n">
        <x:v>9496486.08</x:v>
      </x:c>
      <x:c r="I127" s="162" t="n">
        <x:v>0.6179</x:v>
      </x:c>
      <x:c r="J127" s="162" t="n">
        <x:v>0.326369</x:v>
      </x:c>
      <x:c r="K127" s="157" t="str">
        <x:v>Very High</x:v>
      </x:c>
      <x:c r="L127" s="157" t="n">
        <x:v>1</x:v>
      </x:c>
      <x:c r="M127" s="157" t="str">
        <x:v>Manual Review</x:v>
      </x:c>
      <x:c r="N127" s="166" t="n">
        <x:v>1915093.72</x:v>
      </x:c>
      <x:c r="O127" s="157" t="n">
        <x:v>0</x:v>
      </x:c>
      <x:c r="P127" s="157" t="str">
        <x:v>test</x:v>
      </x:c>
    </x:row>
    <x:row r="128">
      <x:c r="A128" s="157" t="str">
        <x:v>L019655</x:v>
      </x:c>
      <x:c r="B128" s="165" t="n">
        <x:v>44927</x:v>
      </x:c>
      <x:c r="C128" s="157" t="str">
        <x:v>Energy</x:v>
      </x:c>
      <x:c r="D128" s="157" t="str">
        <x:v>revolving</x:v>
      </x:c>
      <x:c r="E128" s="157" t="str">
        <x:v>partially_secured</x:v>
      </x:c>
      <x:c r="F128" s="157" t="str">
        <x:v>CCC</x:v>
      </x:c>
      <x:c r="G128" s="157" t="n">
        <x:v>631</x:v>
      </x:c>
      <x:c r="H128" s="166" t="n">
        <x:v>8864178.31</x:v>
      </x:c>
      <x:c r="I128" s="162" t="n">
        <x:v>0.5225</x:v>
      </x:c>
      <x:c r="J128" s="162" t="n">
        <x:v>0.41199</x:v>
      </x:c>
      <x:c r="K128" s="157" t="str">
        <x:v>Very High</x:v>
      </x:c>
      <x:c r="L128" s="157" t="n">
        <x:v>1</x:v>
      </x:c>
      <x:c r="M128" s="157" t="str">
        <x:v>Manual Review</x:v>
      </x:c>
      <x:c r="N128" s="166" t="n">
        <x:v>1908145.35</x:v>
      </x:c>
      <x:c r="O128" s="157" t="n">
        <x:v>0</x:v>
      </x:c>
      <x:c r="P128" s="157" t="str">
        <x:v>test</x:v>
      </x:c>
    </x:row>
    <x:row r="129">
      <x:c r="A129" s="157" t="str">
        <x:v>L034448</x:v>
      </x:c>
      <x:c r="B129" s="165" t="n">
        <x:v>45108</x:v>
      </x:c>
      <x:c r="C129" s="157" t="str">
        <x:v>Telecom</x:v>
      </x:c>
      <x:c r="D129" s="157" t="str">
        <x:v>term_loan</x:v>
      </x:c>
      <x:c r="E129" s="157" t="str">
        <x:v>unsecured</x:v>
      </x:c>
      <x:c r="F129" s="157" t="str">
        <x:v>B</x:v>
      </x:c>
      <x:c r="G129" s="157" t="n">
        <x:v>609</x:v>
      </x:c>
      <x:c r="H129" s="166" t="n">
        <x:v>14940810.06</x:v>
      </x:c>
      <x:c r="I129" s="162" t="n">
        <x:v>0.6944</x:v>
      </x:c>
      <x:c r="J129" s="162" t="n">
        <x:v>0.182943</x:v>
      </x:c>
      <x:c r="K129" s="157" t="str">
        <x:v>High</x:v>
      </x:c>
      <x:c r="L129" s="157" t="n">
        <x:v>3</x:v>
      </x:c>
      <x:c r="M129" s="157" t="str">
        <x:v>Manual Review</x:v>
      </x:c>
      <x:c r="N129" s="166" t="n">
        <x:v>1898015.06</x:v>
      </x:c>
      <x:c r="O129" s="157" t="n">
        <x:v>0</x:v>
      </x:c>
      <x:c r="P129" s="157" t="str">
        <x:v>test</x:v>
      </x:c>
    </x:row>
    <x:row r="130">
      <x:c r="A130" s="157" t="str">
        <x:v>L006151</x:v>
      </x:c>
      <x:c r="B130" s="165" t="n">
        <x:v>45078</x:v>
      </x:c>
      <x:c r="C130" s="157" t="str">
        <x:v>Utilities</x:v>
      </x:c>
      <x:c r="D130" s="157" t="str">
        <x:v>revolving</x:v>
      </x:c>
      <x:c r="E130" s="157" t="str">
        <x:v>partially_secured</x:v>
      </x:c>
      <x:c r="F130" s="157" t="str">
        <x:v>B</x:v>
      </x:c>
      <x:c r="G130" s="157" t="n">
        <x:v>686</x:v>
      </x:c>
      <x:c r="H130" s="166" t="n">
        <x:v>11319932.68</x:v>
      </x:c>
      <x:c r="I130" s="162" t="n">
        <x:v>0.6467</x:v>
      </x:c>
      <x:c r="J130" s="162" t="n">
        <x:v>0.25898</x:v>
      </x:c>
      <x:c r="K130" s="157" t="str">
        <x:v>High</x:v>
      </x:c>
      <x:c r="L130" s="157" t="n">
        <x:v>2</x:v>
      </x:c>
      <x:c r="M130" s="157" t="str">
        <x:v>Manual Review</x:v>
      </x:c>
      <x:c r="N130" s="166" t="n">
        <x:v>1895889.11</x:v>
      </x:c>
      <x:c r="O130" s="157" t="n">
        <x:v>1</x:v>
      </x:c>
      <x:c r="P130" s="157" t="str">
        <x:v>test</x:v>
      </x:c>
    </x:row>
    <x:row r="131">
      <x:c r="A131" s="157" t="str">
        <x:v>L002664</x:v>
      </x:c>
      <x:c r="B131" s="165" t="n">
        <x:v>45231</x:v>
      </x:c>
      <x:c r="C131" s="157" t="str">
        <x:v>Technology</x:v>
      </x:c>
      <x:c r="D131" s="157" t="str">
        <x:v>term_loan</x:v>
      </x:c>
      <x:c r="E131" s="157" t="str">
        <x:v>partially_secured</x:v>
      </x:c>
      <x:c r="F131" s="157" t="str">
        <x:v>CCC</x:v>
      </x:c>
      <x:c r="G131" s="157" t="n">
        <x:v>611</x:v>
      </x:c>
      <x:c r="H131" s="166" t="n">
        <x:v>8856412.93</x:v>
      </x:c>
      <x:c r="I131" s="162" t="n">
        <x:v>0.6073</x:v>
      </x:c>
      <x:c r="J131" s="162" t="n">
        <x:v>0.349802</x:v>
      </x:c>
      <x:c r="K131" s="157" t="str">
        <x:v>Very High</x:v>
      </x:c>
      <x:c r="L131" s="157" t="n">
        <x:v>1</x:v>
      </x:c>
      <x:c r="M131" s="157" t="str">
        <x:v>Manual Review</x:v>
      </x:c>
      <x:c r="N131" s="166" t="n">
        <x:v>1881409.91</x:v>
      </x:c>
      <x:c r="O131" s="157" t="n">
        <x:v>0</x:v>
      </x:c>
      <x:c r="P131" s="157" t="str">
        <x:v>test</x:v>
      </x:c>
    </x:row>
    <x:row r="132">
      <x:c r="A132" s="157" t="str">
        <x:v>L012568</x:v>
      </x:c>
      <x:c r="B132" s="165" t="n">
        <x:v>45139</x:v>
      </x:c>
      <x:c r="C132" s="157" t="str">
        <x:v>Energy</x:v>
      </x:c>
      <x:c r="D132" s="157" t="str">
        <x:v>term_loan</x:v>
      </x:c>
      <x:c r="E132" s="157" t="str">
        <x:v>unsecured</x:v>
      </x:c>
      <x:c r="F132" s="157" t="str">
        <x:v>B</x:v>
      </x:c>
      <x:c r="G132" s="157" t="n">
        <x:v>645</x:v>
      </x:c>
      <x:c r="H132" s="166" t="n">
        <x:v>12172763.74</x:v>
      </x:c>
      <x:c r="I132" s="162" t="n">
        <x:v>0.7259</x:v>
      </x:c>
      <x:c r="J132" s="162" t="n">
        <x:v>0.212415</x:v>
      </x:c>
      <x:c r="K132" s="157" t="str">
        <x:v>High</x:v>
      </x:c>
      <x:c r="L132" s="157" t="n">
        <x:v>2</x:v>
      </x:c>
      <x:c r="M132" s="157" t="str">
        <x:v>Manual Review</x:v>
      </x:c>
      <x:c r="N132" s="166" t="n">
        <x:v>1876943.38</x:v>
      </x:c>
      <x:c r="O132" s="157" t="n">
        <x:v>0</x:v>
      </x:c>
      <x:c r="P132" s="157" t="str">
        <x:v>test</x:v>
      </x:c>
    </x:row>
    <x:row r="133">
      <x:c r="A133" s="157" t="str">
        <x:v>L031452</x:v>
      </x:c>
      <x:c r="B133" s="165" t="n">
        <x:v>45170</x:v>
      </x:c>
      <x:c r="C133" s="157" t="str">
        <x:v>Energy</x:v>
      </x:c>
      <x:c r="D133" s="157" t="str">
        <x:v>bond</x:v>
      </x:c>
      <x:c r="E133" s="157" t="str">
        <x:v>unsecured</x:v>
      </x:c>
      <x:c r="F133" s="157" t="str">
        <x:v>B</x:v>
      </x:c>
      <x:c r="G133" s="157" t="n">
        <x:v>703</x:v>
      </x:c>
      <x:c r="H133" s="166" t="n">
        <x:v>14158468.79</x:v>
      </x:c>
      <x:c r="I133" s="162" t="n">
        <x:v>0.5596</x:v>
      </x:c>
      <x:c r="J133" s="162" t="n">
        <x:v>0.236175</x:v>
      </x:c>
      <x:c r="K133" s="157" t="str">
        <x:v>High</x:v>
      </x:c>
      <x:c r="L133" s="157" t="n">
        <x:v>2</x:v>
      </x:c>
      <x:c r="M133" s="157" t="str">
        <x:v>Manual Review</x:v>
      </x:c>
      <x:c r="N133" s="166" t="n">
        <x:v>1871233.21</x:v>
      </x:c>
      <x:c r="O133" s="157" t="n">
        <x:v>0</x:v>
      </x:c>
      <x:c r="P133" s="157" t="str">
        <x:v>test</x:v>
      </x:c>
    </x:row>
    <x:row r="134">
      <x:c r="A134" s="157" t="str">
        <x:v>L045444</x:v>
      </x:c>
      <x:c r="B134" s="165" t="n">
        <x:v>44805</x:v>
      </x:c>
      <x:c r="C134" s="157" t="str">
        <x:v>Utilities</x:v>
      </x:c>
      <x:c r="D134" s="157" t="str">
        <x:v>lease</x:v>
      </x:c>
      <x:c r="E134" s="157" t="str">
        <x:v>unsecured</x:v>
      </x:c>
      <x:c r="F134" s="157" t="str">
        <x:v>CCC</x:v>
      </x:c>
      <x:c r="G134" s="157" t="n">
        <x:v>644</x:v>
      </x:c>
      <x:c r="H134" s="166" t="n">
        <x:v>10868311.43</x:v>
      </x:c>
      <x:c r="I134" s="162" t="n">
        <x:v>0.617</x:v>
      </x:c>
      <x:c r="J134" s="162" t="n">
        <x:v>0.27856</x:v>
      </x:c>
      <x:c r="K134" s="157" t="str">
        <x:v>High</x:v>
      </x:c>
      <x:c r="L134" s="157" t="n">
        <x:v>1</x:v>
      </x:c>
      <x:c r="M134" s="157" t="str">
        <x:v>Manual Review</x:v>
      </x:c>
      <x:c r="N134" s="166" t="n">
        <x:v>1867953.21</x:v>
      </x:c>
      <x:c r="O134" s="157" t="n">
        <x:v>0</x:v>
      </x:c>
      <x:c r="P134" s="157" t="str">
        <x:v>test</x:v>
      </x:c>
    </x:row>
    <x:row r="135">
      <x:c r="A135" s="157" t="str">
        <x:v>L043293</x:v>
      </x:c>
      <x:c r="B135" s="165" t="n">
        <x:v>45108</x:v>
      </x:c>
      <x:c r="C135" s="157" t="str">
        <x:v>Real_Estate</x:v>
      </x:c>
      <x:c r="D135" s="157" t="str">
        <x:v>term_loan</x:v>
      </x:c>
      <x:c r="E135" s="157" t="str">
        <x:v>secured</x:v>
      </x:c>
      <x:c r="F135" s="157" t="str">
        <x:v>BBB</x:v>
      </x:c>
      <x:c r="G135" s="157" t="n">
        <x:v>679</x:v>
      </x:c>
      <x:c r="H135" s="166" t="n">
        <x:v>27763490.35</x:v>
      </x:c>
      <x:c r="I135" s="162" t="n">
        <x:v>0.3555</x:v>
      </x:c>
      <x:c r="J135" s="162" t="n">
        <x:v>0.188544</x:v>
      </x:c>
      <x:c r="K135" s="157" t="str">
        <x:v>High</x:v>
      </x:c>
      <x:c r="L135" s="157" t="n">
        <x:v>3</x:v>
      </x:c>
      <x:c r="M135" s="157" t="str">
        <x:v>Manual Review</x:v>
      </x:c>
      <x:c r="N135" s="166" t="n">
        <x:v>1860914.35</x:v>
      </x:c>
      <x:c r="O135" s="157" t="n">
        <x:v>0</x:v>
      </x:c>
      <x:c r="P135" s="157" t="str">
        <x:v>test</x:v>
      </x:c>
    </x:row>
    <x:row r="136">
      <x:c r="A136" s="157" t="str">
        <x:v>L019899</x:v>
      </x:c>
      <x:c r="B136" s="165" t="n">
        <x:v>44652</x:v>
      </x:c>
      <x:c r="C136" s="157" t="str">
        <x:v>Industrials</x:v>
      </x:c>
      <x:c r="D136" s="157" t="str">
        <x:v>term_loan</x:v>
      </x:c>
      <x:c r="E136" s="157" t="str">
        <x:v>unsecured</x:v>
      </x:c>
      <x:c r="F136" s="157" t="str">
        <x:v>CCC</x:v>
      </x:c>
      <x:c r="G136" s="157" t="n">
        <x:v>696</x:v>
      </x:c>
      <x:c r="H136" s="166" t="n">
        <x:v>6110169.73</x:v>
      </x:c>
      <x:c r="I136" s="162" t="n">
        <x:v>0.7539</x:v>
      </x:c>
      <x:c r="J136" s="162" t="n">
        <x:v>0.403158</x:v>
      </x:c>
      <x:c r="K136" s="157" t="str">
        <x:v>Very High</x:v>
      </x:c>
      <x:c r="L136" s="157" t="n">
        <x:v>1</x:v>
      </x:c>
      <x:c r="M136" s="157" t="str">
        <x:v>Manual Review</x:v>
      </x:c>
      <x:c r="N136" s="166" t="n">
        <x:v>1857129.97</x:v>
      </x:c>
      <x:c r="O136" s="157" t="n">
        <x:v>1</x:v>
      </x:c>
      <x:c r="P136" s="157" t="str">
        <x:v>test</x:v>
      </x:c>
    </x:row>
    <x:row r="137">
      <x:c r="A137" s="157" t="str">
        <x:v>L000821</x:v>
      </x:c>
      <x:c r="B137" s="165" t="n">
        <x:v>44986</x:v>
      </x:c>
      <x:c r="C137" s="157" t="str">
        <x:v>Telecom</x:v>
      </x:c>
      <x:c r="D137" s="157" t="str">
        <x:v>bond</x:v>
      </x:c>
      <x:c r="E137" s="157" t="str">
        <x:v>unsecured</x:v>
      </x:c>
      <x:c r="F137" s="157" t="str">
        <x:v>BB</x:v>
      </x:c>
      <x:c r="G137" s="157" t="n">
        <x:v>736</x:v>
      </x:c>
      <x:c r="H137" s="166" t="n">
        <x:v>20655978.02</x:v>
      </x:c>
      <x:c r="I137" s="162" t="n">
        <x:v>0.5107</x:v>
      </x:c>
      <x:c r="J137" s="162" t="n">
        <x:v>0.175618</x:v>
      </x:c>
      <x:c r="K137" s="157" t="str">
        <x:v>High</x:v>
      </x:c>
      <x:c r="L137" s="157" t="n">
        <x:v>4</x:v>
      </x:c>
      <x:c r="M137" s="157" t="str">
        <x:v>Manual Review</x:v>
      </x:c>
      <x:c r="N137" s="166" t="n">
        <x:v>1852595.68</x:v>
      </x:c>
      <x:c r="O137" s="157" t="n">
        <x:v>0</x:v>
      </x:c>
      <x:c r="P137" s="157" t="str">
        <x:v>test</x:v>
      </x:c>
    </x:row>
    <x:row r="138">
      <x:c r="A138" s="157" t="str">
        <x:v>L039404</x:v>
      </x:c>
      <x:c r="B138" s="165" t="n">
        <x:v>45231</x:v>
      </x:c>
      <x:c r="C138" s="157" t="str">
        <x:v>Industrials</x:v>
      </x:c>
      <x:c r="D138" s="157" t="str">
        <x:v>mortgage</x:v>
      </x:c>
      <x:c r="E138" s="157" t="str">
        <x:v>unsecured</x:v>
      </x:c>
      <x:c r="F138" s="157" t="str">
        <x:v>BBB</x:v>
      </x:c>
      <x:c r="G138" s="157" t="n">
        <x:v>724</x:v>
      </x:c>
      <x:c r="H138" s="166" t="n">
        <x:v>16120584.42</x:v>
      </x:c>
      <x:c r="I138" s="162" t="n">
        <x:v>0.605</x:v>
      </x:c>
      <x:c r="J138" s="162" t="n">
        <x:v>0.189421</x:v>
      </x:c>
      <x:c r="K138" s="157" t="str">
        <x:v>High</x:v>
      </x:c>
      <x:c r="L138" s="157" t="n">
        <x:v>3</x:v>
      </x:c>
      <x:c r="M138" s="157" t="str">
        <x:v>Manual Review</x:v>
      </x:c>
      <x:c r="N138" s="166" t="n">
        <x:v>1847414.22</x:v>
      </x:c>
      <x:c r="O138" s="157" t="n">
        <x:v>0</x:v>
      </x:c>
      <x:c r="P138" s="157" t="str">
        <x:v>test</x:v>
      </x:c>
    </x:row>
    <x:row r="139">
      <x:c r="A139" s="157" t="str">
        <x:v>L011746</x:v>
      </x:c>
      <x:c r="B139" s="165" t="n">
        <x:v>45078</x:v>
      </x:c>
      <x:c r="C139" s="157" t="str">
        <x:v>Utilities</x:v>
      </x:c>
      <x:c r="D139" s="157" t="str">
        <x:v>mortgage</x:v>
      </x:c>
      <x:c r="E139" s="157" t="str">
        <x:v>secured</x:v>
      </x:c>
      <x:c r="F139" s="157" t="str">
        <x:v>CCC</x:v>
      </x:c>
      <x:c r="G139" s="157" t="n">
        <x:v>561</x:v>
      </x:c>
      <x:c r="H139" s="166" t="n">
        <x:v>12606272.72</x:v>
      </x:c>
      <x:c r="I139" s="162" t="n">
        <x:v>0.3473</x:v>
      </x:c>
      <x:c r="J139" s="162" t="n">
        <x:v>0.421483</x:v>
      </x:c>
      <x:c r="K139" s="157" t="str">
        <x:v>Very High</x:v>
      </x:c>
      <x:c r="L139" s="157" t="n">
        <x:v>1</x:v>
      </x:c>
      <x:c r="M139" s="157" t="str">
        <x:v>Manual Review</x:v>
      </x:c>
      <x:c r="N139" s="166" t="n">
        <x:v>1845319.39</x:v>
      </x:c>
      <x:c r="O139" s="157" t="n">
        <x:v>0</x:v>
      </x:c>
      <x:c r="P139" s="157" t="str">
        <x:v>test</x:v>
      </x:c>
    </x:row>
    <x:row r="140">
      <x:c r="A140" s="157" t="str">
        <x:v>L038122</x:v>
      </x:c>
      <x:c r="B140" s="165" t="n">
        <x:v>44805</x:v>
      </x:c>
      <x:c r="C140" s="157" t="str">
        <x:v>Telecom</x:v>
      </x:c>
      <x:c r="D140" s="157" t="str">
        <x:v>bond</x:v>
      </x:c>
      <x:c r="E140" s="157" t="str">
        <x:v>partially_secured</x:v>
      </x:c>
      <x:c r="F140" s="157" t="str">
        <x:v>B</x:v>
      </x:c>
      <x:c r="G140" s="157" t="n">
        <x:v>663</x:v>
      </x:c>
      <x:c r="H140" s="166" t="n">
        <x:v>15672542.8</x:v>
      </x:c>
      <x:c r="I140" s="162" t="n">
        <x:v>0.6062</x:v>
      </x:c>
      <x:c r="J140" s="162" t="n">
        <x:v>0.193425</x:v>
      </x:c>
      <x:c r="K140" s="157" t="str">
        <x:v>High</x:v>
      </x:c>
      <x:c r="L140" s="157" t="n">
        <x:v>3</x:v>
      </x:c>
      <x:c r="M140" s="157" t="str">
        <x:v>Manual Review</x:v>
      </x:c>
      <x:c r="N140" s="166" t="n">
        <x:v>1837672.02</x:v>
      </x:c>
      <x:c r="O140" s="157" t="n">
        <x:v>0</x:v>
      </x:c>
      <x:c r="P140" s="157" t="str">
        <x:v>test</x:v>
      </x:c>
    </x:row>
    <x:row r="141">
      <x:c r="A141" s="157" t="str">
        <x:v>L028397</x:v>
      </x:c>
      <x:c r="B141" s="165" t="n">
        <x:v>45078</x:v>
      </x:c>
      <x:c r="C141" s="157" t="str">
        <x:v>Financials</x:v>
      </x:c>
      <x:c r="D141" s="157" t="str">
        <x:v>mortgage</x:v>
      </x:c>
      <x:c r="E141" s="157" t="str">
        <x:v>unsecured</x:v>
      </x:c>
      <x:c r="F141" s="157" t="str">
        <x:v>AA</x:v>
      </x:c>
      <x:c r="G141" s="157" t="n">
        <x:v>750</x:v>
      </x:c>
      <x:c r="H141" s="166" t="n">
        <x:v>14114075.5</x:v>
      </x:c>
      <x:c r="I141" s="162" t="n">
        <x:v>0.7478</x:v>
      </x:c>
      <x:c r="J141" s="162" t="n">
        <x:v>0.173524</x:v>
      </x:c>
      <x:c r="K141" s="157" t="str">
        <x:v>High</x:v>
      </x:c>
      <x:c r="L141" s="157" t="n">
        <x:v>4</x:v>
      </x:c>
      <x:c r="M141" s="157" t="str">
        <x:v>Manual Review</x:v>
      </x:c>
      <x:c r="N141" s="166" t="n">
        <x:v>1831460.04</x:v>
      </x:c>
      <x:c r="O141" s="157" t="n">
        <x:v>0</x:v>
      </x:c>
      <x:c r="P141" s="157" t="str">
        <x:v>test</x:v>
      </x:c>
    </x:row>
    <x:row r="142">
      <x:c r="A142" s="157" t="str">
        <x:v>L025105</x:v>
      </x:c>
      <x:c r="B142" s="165" t="n">
        <x:v>44896</x:v>
      </x:c>
      <x:c r="C142" s="157" t="str">
        <x:v>Real_Estate</x:v>
      </x:c>
      <x:c r="D142" s="157" t="str">
        <x:v>lease</x:v>
      </x:c>
      <x:c r="E142" s="157" t="str">
        <x:v>partially_secured</x:v>
      </x:c>
      <x:c r="F142" s="157" t="str">
        <x:v>CCC</x:v>
      </x:c>
      <x:c r="G142" s="157" t="n">
        <x:v>679</x:v>
      </x:c>
      <x:c r="H142" s="166" t="n">
        <x:v>7555077.93</x:v>
      </x:c>
      <x:c r="I142" s="162" t="n">
        <x:v>0.5974</x:v>
      </x:c>
      <x:c r="J142" s="162" t="n">
        <x:v>0.403926</x:v>
      </x:c>
      <x:c r="K142" s="157" t="str">
        <x:v>Very High</x:v>
      </x:c>
      <x:c r="L142" s="157" t="n">
        <x:v>1</x:v>
      </x:c>
      <x:c r="M142" s="157" t="str">
        <x:v>Manual Review</x:v>
      </x:c>
      <x:c r="N142" s="166" t="n">
        <x:v>1823081.04</x:v>
      </x:c>
      <x:c r="O142" s="157" t="n">
        <x:v>1</x:v>
      </x:c>
      <x:c r="P142" s="157" t="str">
        <x:v>test</x:v>
      </x:c>
    </x:row>
    <x:row r="143">
      <x:c r="A143" s="157" t="str">
        <x:v>L013661</x:v>
      </x:c>
      <x:c r="B143" s="165" t="n">
        <x:v>44866</x:v>
      </x:c>
      <x:c r="C143" s="157" t="str">
        <x:v>Consumer</x:v>
      </x:c>
      <x:c r="D143" s="157" t="str">
        <x:v>lease</x:v>
      </x:c>
      <x:c r="E143" s="157" t="str">
        <x:v>unsecured</x:v>
      </x:c>
      <x:c r="F143" s="157" t="str">
        <x:v>CCC</x:v>
      </x:c>
      <x:c r="G143" s="157" t="n">
        <x:v>640</x:v>
      </x:c>
      <x:c r="H143" s="166" t="n">
        <x:v>6227028.5</x:v>
      </x:c>
      <x:c r="I143" s="162" t="n">
        <x:v>0.6891</x:v>
      </x:c>
      <x:c r="J143" s="162" t="n">
        <x:v>0.417611</x:v>
      </x:c>
      <x:c r="K143" s="157" t="str">
        <x:v>Very High</x:v>
      </x:c>
      <x:c r="L143" s="157" t="n">
        <x:v>1</x:v>
      </x:c>
      <x:c r="M143" s="157" t="str">
        <x:v>Manual Review</x:v>
      </x:c>
      <x:c r="N143" s="166" t="n">
        <x:v>1791987.74</x:v>
      </x:c>
      <x:c r="O143" s="157" t="n">
        <x:v>1</x:v>
      </x:c>
      <x:c r="P143" s="157" t="str">
        <x:v>test</x:v>
      </x:c>
    </x:row>
    <x:row r="144">
      <x:c r="A144" s="157" t="str">
        <x:v>L031263</x:v>
      </x:c>
      <x:c r="B144" s="165" t="n">
        <x:v>44896</x:v>
      </x:c>
      <x:c r="C144" s="157" t="str">
        <x:v>Telecom</x:v>
      </x:c>
      <x:c r="D144" s="157" t="str">
        <x:v>mortgage</x:v>
      </x:c>
      <x:c r="E144" s="157" t="str">
        <x:v>partially_secured</x:v>
      </x:c>
      <x:c r="F144" s="157" t="str">
        <x:v>BBB</x:v>
      </x:c>
      <x:c r="G144" s="157" t="n">
        <x:v>705</x:v>
      </x:c>
      <x:c r="H144" s="166" t="n">
        <x:v>17100054.26</x:v>
      </x:c>
      <x:c r="I144" s="162" t="n">
        <x:v>0.6067</x:v>
      </x:c>
      <x:c r="J144" s="162" t="n">
        <x:v>0.172208</x:v>
      </x:c>
      <x:c r="K144" s="157" t="str">
        <x:v>High</x:v>
      </x:c>
      <x:c r="L144" s="157" t="n">
        <x:v>4</x:v>
      </x:c>
      <x:c r="M144" s="157" t="str">
        <x:v>Manual Review</x:v>
      </x:c>
      <x:c r="N144" s="166" t="n">
        <x:v>1786589.62</x:v>
      </x:c>
      <x:c r="O144" s="157" t="n">
        <x:v>0</x:v>
      </x:c>
      <x:c r="P144" s="157" t="str">
        <x:v>test</x:v>
      </x:c>
    </x:row>
    <x:row r="145">
      <x:c r="A145" s="157" t="str">
        <x:v>L016372</x:v>
      </x:c>
      <x:c r="B145" s="165" t="n">
        <x:v>44866</x:v>
      </x:c>
      <x:c r="C145" s="157" t="str">
        <x:v>Utilities</x:v>
      </x:c>
      <x:c r="D145" s="157" t="str">
        <x:v>revolving</x:v>
      </x:c>
      <x:c r="E145" s="157" t="str">
        <x:v>partially_secured</x:v>
      </x:c>
      <x:c r="F145" s="157" t="str">
        <x:v>B</x:v>
      </x:c>
      <x:c r="G145" s="157" t="n">
        <x:v>686</x:v>
      </x:c>
      <x:c r="H145" s="166" t="n">
        <x:v>11730501.6</x:v>
      </x:c>
      <x:c r="I145" s="162" t="n">
        <x:v>0.5965</x:v>
      </x:c>
      <x:c r="J145" s="162" t="n">
        <x:v>0.253925</x:v>
      </x:c>
      <x:c r="K145" s="157" t="str">
        <x:v>High</x:v>
      </x:c>
      <x:c r="L145" s="157" t="n">
        <x:v>2</x:v>
      </x:c>
      <x:c r="M145" s="157" t="str">
        <x:v>Manual Review</x:v>
      </x:c>
      <x:c r="N145" s="166" t="n">
        <x:v>1776775.23</x:v>
      </x:c>
      <x:c r="O145" s="157" t="n">
        <x:v>0</x:v>
      </x:c>
      <x:c r="P145" s="157" t="str">
        <x:v>test</x:v>
      </x:c>
    </x:row>
    <x:row r="146">
      <x:c r="A146" s="157" t="str">
        <x:v>L029218</x:v>
      </x:c>
      <x:c r="B146" s="165" t="n">
        <x:v>45047</x:v>
      </x:c>
      <x:c r="C146" s="157" t="str">
        <x:v>Real_Estate</x:v>
      </x:c>
      <x:c r="D146" s="157" t="str">
        <x:v>bond</x:v>
      </x:c>
      <x:c r="E146" s="157" t="str">
        <x:v>partially_secured</x:v>
      </x:c>
      <x:c r="F146" s="157" t="str">
        <x:v>B</x:v>
      </x:c>
      <x:c r="G146" s="157" t="n">
        <x:v>705</x:v>
      </x:c>
      <x:c r="H146" s="166" t="n">
        <x:v>16715038.21</x:v>
      </x:c>
      <x:c r="I146" s="162" t="n">
        <x:v>0.485</x:v>
      </x:c>
      <x:c r="J146" s="162" t="n">
        <x:v>0.219101</x:v>
      </x:c>
      <x:c r="K146" s="157" t="str">
        <x:v>High</x:v>
      </x:c>
      <x:c r="L146" s="157" t="n">
        <x:v>2</x:v>
      </x:c>
      <x:c r="M146" s="157" t="str">
        <x:v>Manual Review</x:v>
      </x:c>
      <x:c r="N146" s="166" t="n">
        <x:v>1776206.57</x:v>
      </x:c>
      <x:c r="O146" s="157" t="n">
        <x:v>0</x:v>
      </x:c>
      <x:c r="P146" s="157" t="str">
        <x:v>test</x:v>
      </x:c>
    </x:row>
    <x:row r="147">
      <x:c r="A147" s="157" t="str">
        <x:v>L037273</x:v>
      </x:c>
      <x:c r="B147" s="165" t="n">
        <x:v>44927</x:v>
      </x:c>
      <x:c r="C147" s="157" t="str">
        <x:v>Telecom</x:v>
      </x:c>
      <x:c r="D147" s="157" t="str">
        <x:v>mortgage</x:v>
      </x:c>
      <x:c r="E147" s="157" t="str">
        <x:v>unsecured</x:v>
      </x:c>
      <x:c r="F147" s="157" t="str">
        <x:v>B</x:v>
      </x:c>
      <x:c r="G147" s="157" t="n">
        <x:v>682</x:v>
      </x:c>
      <x:c r="H147" s="166" t="n">
        <x:v>13953537.13</x:v>
      </x:c>
      <x:c r="I147" s="162" t="n">
        <x:v>0.7268</x:v>
      </x:c>
      <x:c r="J147" s="162" t="n">
        <x:v>0.174307</x:v>
      </x:c>
      <x:c r="K147" s="157" t="str">
        <x:v>High</x:v>
      </x:c>
      <x:c r="L147" s="157" t="n">
        <x:v>4</x:v>
      </x:c>
      <x:c r="M147" s="157" t="str">
        <x:v>Manual Review</x:v>
      </x:c>
      <x:c r="N147" s="166" t="n">
        <x:v>1767722.38</x:v>
      </x:c>
      <x:c r="O147" s="157" t="n">
        <x:v>0</x:v>
      </x:c>
      <x:c r="P147" s="157" t="str">
        <x:v>test</x:v>
      </x:c>
    </x:row>
    <x:row r="148">
      <x:c r="A148" s="157" t="str">
        <x:v>L010935</x:v>
      </x:c>
      <x:c r="B148" s="165" t="n">
        <x:v>45078</x:v>
      </x:c>
      <x:c r="C148" s="157" t="str">
        <x:v>Utilities</x:v>
      </x:c>
      <x:c r="D148" s="157" t="str">
        <x:v>bond</x:v>
      </x:c>
      <x:c r="E148" s="157" t="str">
        <x:v>partially_secured</x:v>
      </x:c>
      <x:c r="F148" s="157" t="str">
        <x:v>CCC</x:v>
      </x:c>
      <x:c r="G148" s="157" t="n">
        <x:v>593</x:v>
      </x:c>
      <x:c r="H148" s="166" t="n">
        <x:v>10209241.62</x:v>
      </x:c>
      <x:c r="I148" s="162" t="n">
        <x:v>0.5775</x:v>
      </x:c>
      <x:c r="J148" s="162" t="n">
        <x:v>0.2995</x:v>
      </x:c>
      <x:c r="K148" s="157" t="str">
        <x:v>High</x:v>
      </x:c>
      <x:c r="L148" s="157" t="n">
        <x:v>1</x:v>
      </x:c>
      <x:c r="M148" s="157" t="str">
        <x:v>Manual Review</x:v>
      </x:c>
      <x:c r="N148" s="166" t="n">
        <x:v>1765803.19</x:v>
      </x:c>
      <x:c r="O148" s="157" t="n">
        <x:v>0</x:v>
      </x:c>
      <x:c r="P148" s="157" t="str">
        <x:v>test</x:v>
      </x:c>
    </x:row>
    <x:row r="149">
      <x:c r="A149" s="157" t="str">
        <x:v>L021443</x:v>
      </x:c>
      <x:c r="B149" s="165" t="n">
        <x:v>45017</x:v>
      </x:c>
      <x:c r="C149" s="157" t="str">
        <x:v>Telecom</x:v>
      </x:c>
      <x:c r="D149" s="157" t="str">
        <x:v>revolving</x:v>
      </x:c>
      <x:c r="E149" s="157" t="str">
        <x:v>unsecured</x:v>
      </x:c>
      <x:c r="F149" s="157" t="str">
        <x:v>B</x:v>
      </x:c>
      <x:c r="G149" s="157" t="n">
        <x:v>721</x:v>
      </x:c>
      <x:c r="H149" s="166" t="n">
        <x:v>10102525.14</x:v>
      </x:c>
      <x:c r="I149" s="162" t="n">
        <x:v>0.7265</x:v>
      </x:c>
      <x:c r="J149" s="162" t="n">
        <x:v>0.239062</x:v>
      </x:c>
      <x:c r="K149" s="157" t="str">
        <x:v>High</x:v>
      </x:c>
      <x:c r="L149" s="157" t="n">
        <x:v>2</x:v>
      </x:c>
      <x:c r="M149" s="157" t="str">
        <x:v>Manual Review</x:v>
      </x:c>
      <x:c r="N149" s="166" t="n">
        <x:v>1754591.85</x:v>
      </x:c>
      <x:c r="O149" s="157" t="n">
        <x:v>0</x:v>
      </x:c>
      <x:c r="P149" s="157" t="str">
        <x:v>test</x:v>
      </x:c>
    </x:row>
    <x:row r="150">
      <x:c r="A150" s="157" t="str">
        <x:v>L039564</x:v>
      </x:c>
      <x:c r="B150" s="165" t="n">
        <x:v>44713</x:v>
      </x:c>
      <x:c r="C150" s="157" t="str">
        <x:v>Energy</x:v>
      </x:c>
      <x:c r="D150" s="157" t="str">
        <x:v>term_loan</x:v>
      </x:c>
      <x:c r="E150" s="157" t="str">
        <x:v>unsecured</x:v>
      </x:c>
      <x:c r="F150" s="157" t="str">
        <x:v>BB</x:v>
      </x:c>
      <x:c r="G150" s="157" t="n">
        <x:v>687</x:v>
      </x:c>
      <x:c r="H150" s="166" t="n">
        <x:v>13230125.5</x:v>
      </x:c>
      <x:c r="I150" s="162" t="n">
        <x:v>0.6657</x:v>
      </x:c>
      <x:c r="J150" s="162" t="n">
        <x:v>0.1992</x:v>
      </x:c>
      <x:c r="K150" s="157" t="str">
        <x:v>High</x:v>
      </x:c>
      <x:c r="L150" s="157" t="n">
        <x:v>3</x:v>
      </x:c>
      <x:c r="M150" s="157" t="str">
        <x:v>Manual Review</x:v>
      </x:c>
      <x:c r="N150" s="166" t="n">
        <x:v>1754413.07</x:v>
      </x:c>
      <x:c r="O150" s="157" t="n">
        <x:v>0</x:v>
      </x:c>
      <x:c r="P150" s="157" t="str">
        <x:v>test</x:v>
      </x:c>
    </x:row>
    <x:row r="151">
      <x:c r="A151" s="157" t="str">
        <x:v>L031499</x:v>
      </x:c>
      <x:c r="B151" s="165" t="n">
        <x:v>44743</x:v>
      </x:c>
      <x:c r="C151" s="157" t="str">
        <x:v>Utilities</x:v>
      </x:c>
      <x:c r="D151" s="157" t="str">
        <x:v>mortgage</x:v>
      </x:c>
      <x:c r="E151" s="157" t="str">
        <x:v>unsecured</x:v>
      </x:c>
      <x:c r="F151" s="157" t="str">
        <x:v>CCC</x:v>
      </x:c>
      <x:c r="G151" s="157" t="n">
        <x:v>607</x:v>
      </x:c>
      <x:c r="H151" s="166" t="n">
        <x:v>7810889.82</x:v>
      </x:c>
      <x:c r="I151" s="162" t="n">
        <x:v>0.556</x:v>
      </x:c>
      <x:c r="J151" s="162" t="n">
        <x:v>0.403257</x:v>
      </x:c>
      <x:c r="K151" s="157" t="str">
        <x:v>Very High</x:v>
      </x:c>
      <x:c r="L151" s="157" t="n">
        <x:v>1</x:v>
      </x:c>
      <x:c r="M151" s="157" t="str">
        <x:v>Manual Review</x:v>
      </x:c>
      <x:c r="N151" s="166" t="n">
        <x:v>1751286.57</x:v>
      </x:c>
      <x:c r="O151" s="157" t="n">
        <x:v>1</x:v>
      </x:c>
      <x:c r="P151" s="157" t="str">
        <x:v>test</x:v>
      </x:c>
    </x:row>
    <x:row r="152">
      <x:c r="A152" s="157" t="str">
        <x:v>L005431</x:v>
      </x:c>
      <x:c r="B152" s="165" t="n">
        <x:v>44621</x:v>
      </x:c>
      <x:c r="C152" s="157" t="str">
        <x:v>Technology</x:v>
      </x:c>
      <x:c r="D152" s="157" t="str">
        <x:v>term_loan</x:v>
      </x:c>
      <x:c r="E152" s="157" t="str">
        <x:v>secured</x:v>
      </x:c>
      <x:c r="F152" s="157" t="str">
        <x:v>CCC</x:v>
      </x:c>
      <x:c r="G152" s="157" t="n">
        <x:v>645</x:v>
      </x:c>
      <x:c r="H152" s="166" t="n">
        <x:v>6865506.15</x:v>
      </x:c>
      <x:c r="I152" s="162" t="n">
        <x:v>0.6933</x:v>
      </x:c>
      <x:c r="J152" s="162" t="n">
        <x:v>0.367007</x:v>
      </x:c>
      <x:c r="K152" s="157" t="str">
        <x:v>Very High</x:v>
      </x:c>
      <x:c r="L152" s="157" t="n">
        <x:v>1</x:v>
      </x:c>
      <x:c r="M152" s="157" t="str">
        <x:v>Manual Review</x:v>
      </x:c>
      <x:c r="N152" s="166" t="n">
        <x:v>1746900.26</x:v>
      </x:c>
      <x:c r="O152" s="157" t="n">
        <x:v>0</x:v>
      </x:c>
      <x:c r="P152" s="157" t="str">
        <x:v>test</x:v>
      </x:c>
    </x:row>
    <x:row r="153">
      <x:c r="A153" s="157" t="str">
        <x:v>L012024</x:v>
      </x:c>
      <x:c r="B153" s="165" t="n">
        <x:v>44866</x:v>
      </x:c>
      <x:c r="C153" s="157" t="str">
        <x:v>Industrials</x:v>
      </x:c>
      <x:c r="D153" s="157" t="str">
        <x:v>term_loan</x:v>
      </x:c>
      <x:c r="E153" s="157" t="str">
        <x:v>unsecured</x:v>
      </x:c>
      <x:c r="F153" s="157" t="str">
        <x:v>B</x:v>
      </x:c>
      <x:c r="G153" s="157" t="n">
        <x:v>594</x:v>
      </x:c>
      <x:c r="H153" s="166" t="n">
        <x:v>9095249.52</x:v>
      </x:c>
      <x:c r="I153" s="162" t="n">
        <x:v>0.7574</x:v>
      </x:c>
      <x:c r="J153" s="162" t="n">
        <x:v>0.251896</x:v>
      </x:c>
      <x:c r="K153" s="157" t="str">
        <x:v>High</x:v>
      </x:c>
      <x:c r="L153" s="157" t="n">
        <x:v>2</x:v>
      </x:c>
      <x:c r="M153" s="157" t="str">
        <x:v>Manual Review</x:v>
      </x:c>
      <x:c r="N153" s="166" t="n">
        <x:v>1735246.55</x:v>
      </x:c>
      <x:c r="O153" s="157" t="n">
        <x:v>0</x:v>
      </x:c>
      <x:c r="P153" s="157" t="str">
        <x:v>test</x:v>
      </x:c>
    </x:row>
    <x:row r="154">
      <x:c r="A154" s="157" t="str">
        <x:v>L038760</x:v>
      </x:c>
      <x:c r="B154" s="165" t="n">
        <x:v>44958</x:v>
      </x:c>
      <x:c r="C154" s="157" t="str">
        <x:v>Real_Estate</x:v>
      </x:c>
      <x:c r="D154" s="157" t="str">
        <x:v>lease</x:v>
      </x:c>
      <x:c r="E154" s="157" t="str">
        <x:v>secured</x:v>
      </x:c>
      <x:c r="F154" s="157" t="str">
        <x:v>BB</x:v>
      </x:c>
      <x:c r="G154" s="157" t="n">
        <x:v>679</x:v>
      </x:c>
      <x:c r="H154" s="166" t="n">
        <x:v>23548133.05</x:v>
      </x:c>
      <x:c r="I154" s="162" t="n">
        <x:v>0.4132</x:v>
      </x:c>
      <x:c r="J154" s="162" t="n">
        <x:v>0.178018</x:v>
      </x:c>
      <x:c r="K154" s="157" t="str">
        <x:v>High</x:v>
      </x:c>
      <x:c r="L154" s="157" t="n">
        <x:v>4</x:v>
      </x:c>
      <x:c r="M154" s="157" t="str">
        <x:v>Manual Review</x:v>
      </x:c>
      <x:c r="N154" s="166" t="n">
        <x:v>1732130.91</x:v>
      </x:c>
      <x:c r="O154" s="157" t="n">
        <x:v>0</x:v>
      </x:c>
      <x:c r="P154" s="157" t="str">
        <x:v>test</x:v>
      </x:c>
    </x:row>
    <x:row r="155">
      <x:c r="A155" s="157" t="str">
        <x:v>L015669</x:v>
      </x:c>
      <x:c r="B155" s="165" t="n">
        <x:v>44774</x:v>
      </x:c>
      <x:c r="C155" s="157" t="str">
        <x:v>Financials</x:v>
      </x:c>
      <x:c r="D155" s="157" t="str">
        <x:v>revolving</x:v>
      </x:c>
      <x:c r="E155" s="157" t="str">
        <x:v>unsecured</x:v>
      </x:c>
      <x:c r="F155" s="157" t="str">
        <x:v>BB</x:v>
      </x:c>
      <x:c r="G155" s="157" t="n">
        <x:v>671</x:v>
      </x:c>
      <x:c r="H155" s="166" t="n">
        <x:v>14068324.59</x:v>
      </x:c>
      <x:c r="I155" s="162" t="n">
        <x:v>0.6372</x:v>
      </x:c>
      <x:c r="J155" s="162" t="n">
        <x:v>0.1927</x:v>
      </x:c>
      <x:c r="K155" s="157" t="str">
        <x:v>High</x:v>
      </x:c>
      <x:c r="L155" s="157" t="n">
        <x:v>3</x:v>
      </x:c>
      <x:c r="M155" s="157" t="str">
        <x:v>Manual Review</x:v>
      </x:c>
      <x:c r="N155" s="166" t="n">
        <x:v>1727427.63</x:v>
      </x:c>
      <x:c r="O155" s="157" t="n">
        <x:v>1</x:v>
      </x:c>
      <x:c r="P155" s="157" t="str">
        <x:v>test</x:v>
      </x:c>
    </x:row>
    <x:row r="156">
      <x:c r="A156" s="157" t="str">
        <x:v>L014492</x:v>
      </x:c>
      <x:c r="B156" s="165" t="n">
        <x:v>44774</x:v>
      </x:c>
      <x:c r="C156" s="157" t="str">
        <x:v>Real_Estate</x:v>
      </x:c>
      <x:c r="D156" s="157" t="str">
        <x:v>bond</x:v>
      </x:c>
      <x:c r="E156" s="157" t="str">
        <x:v>unsecured</x:v>
      </x:c>
      <x:c r="F156" s="157" t="str">
        <x:v>B</x:v>
      </x:c>
      <x:c r="G156" s="157" t="n">
        <x:v>656</x:v>
      </x:c>
      <x:c r="H156" s="166" t="n">
        <x:v>18813059.18</x:v>
      </x:c>
      <x:c r="I156" s="162" t="n">
        <x:v>0.4342</x:v>
      </x:c>
      <x:c r="J156" s="162" t="n">
        <x:v>0.211419</x:v>
      </x:c>
      <x:c r="K156" s="157" t="str">
        <x:v>High</x:v>
      </x:c>
      <x:c r="L156" s="157" t="n">
        <x:v>2</x:v>
      </x:c>
      <x:c r="M156" s="157" t="str">
        <x:v>Manual Review</x:v>
      </x:c>
      <x:c r="N156" s="166" t="n">
        <x:v>1727003.65</x:v>
      </x:c>
      <x:c r="O156" s="157" t="n">
        <x:v>0</x:v>
      </x:c>
      <x:c r="P156" s="157" t="str">
        <x:v>test</x:v>
      </x:c>
    </x:row>
    <x:row r="157">
      <x:c r="A157" s="157" t="str">
        <x:v>L027840</x:v>
      </x:c>
      <x:c r="B157" s="165" t="n">
        <x:v>44866</x:v>
      </x:c>
      <x:c r="C157" s="157" t="str">
        <x:v>Utilities</x:v>
      </x:c>
      <x:c r="D157" s="157" t="str">
        <x:v>term_loan</x:v>
      </x:c>
      <x:c r="E157" s="157" t="str">
        <x:v>partially_secured</x:v>
      </x:c>
      <x:c r="F157" s="157" t="str">
        <x:v>BB</x:v>
      </x:c>
      <x:c r="G157" s="157" t="n">
        <x:v>718</x:v>
      </x:c>
      <x:c r="H157" s="166" t="n">
        <x:v>14308801.66</x:v>
      </x:c>
      <x:c r="I157" s="162" t="n">
        <x:v>0.6139</x:v>
      </x:c>
      <x:c r="J157" s="162" t="n">
        <x:v>0.196095</x:v>
      </x:c>
      <x:c r="K157" s="157" t="str">
        <x:v>High</x:v>
      </x:c>
      <x:c r="L157" s="157" t="n">
        <x:v>3</x:v>
      </x:c>
      <x:c r="M157" s="157" t="str">
        <x:v>Manual Review</x:v>
      </x:c>
      <x:c r="N157" s="166" t="n">
        <x:v>1722532.47</x:v>
      </x:c>
      <x:c r="O157" s="157" t="n">
        <x:v>0</x:v>
      </x:c>
      <x:c r="P157" s="157" t="str">
        <x:v>test</x:v>
      </x:c>
    </x:row>
    <x:row r="158">
      <x:c r="A158" s="157" t="str">
        <x:v>L006399</x:v>
      </x:c>
      <x:c r="B158" s="165" t="n">
        <x:v>44927</x:v>
      </x:c>
      <x:c r="C158" s="157" t="str">
        <x:v>Utilities</x:v>
      </x:c>
      <x:c r="D158" s="157" t="str">
        <x:v>mortgage</x:v>
      </x:c>
      <x:c r="E158" s="157" t="str">
        <x:v>partially_secured</x:v>
      </x:c>
      <x:c r="F158" s="157" t="str">
        <x:v>B</x:v>
      </x:c>
      <x:c r="G158" s="157" t="n">
        <x:v>689</x:v>
      </x:c>
      <x:c r="H158" s="166" t="n">
        <x:v>11811138.9</x:v>
      </x:c>
      <x:c r="I158" s="162" t="n">
        <x:v>0.584</x:v>
      </x:c>
      <x:c r="J158" s="162" t="n">
        <x:v>0.249502</x:v>
      </x:c>
      <x:c r="K158" s="157" t="str">
        <x:v>High</x:v>
      </x:c>
      <x:c r="L158" s="157" t="n">
        <x:v>2</x:v>
      </x:c>
      <x:c r="M158" s="157" t="str">
        <x:v>Manual Review</x:v>
      </x:c>
      <x:c r="N158" s="166" t="n">
        <x:v>1720991.22</x:v>
      </x:c>
      <x:c r="O158" s="157" t="n">
        <x:v>0</x:v>
      </x:c>
      <x:c r="P158" s="157" t="str">
        <x:v>test</x:v>
      </x:c>
    </x:row>
    <x:row r="159">
      <x:c r="A159" s="157" t="str">
        <x:v>L001485</x:v>
      </x:c>
      <x:c r="B159" s="165" t="n">
        <x:v>45078</x:v>
      </x:c>
      <x:c r="C159" s="157" t="str">
        <x:v>Telecom</x:v>
      </x:c>
      <x:c r="D159" s="157" t="str">
        <x:v>revolving</x:v>
      </x:c>
      <x:c r="E159" s="157" t="str">
        <x:v>unsecured</x:v>
      </x:c>
      <x:c r="F159" s="157" t="str">
        <x:v>B</x:v>
      </x:c>
      <x:c r="G159" s="157" t="n">
        <x:v>706</x:v>
      </x:c>
      <x:c r="H159" s="166" t="n">
        <x:v>10916770.43</x:v>
      </x:c>
      <x:c r="I159" s="162" t="n">
        <x:v>0.6427</x:v>
      </x:c>
      <x:c r="J159" s="162" t="n">
        <x:v>0.245015</x:v>
      </x:c>
      <x:c r="K159" s="157" t="str">
        <x:v>High</x:v>
      </x:c>
      <x:c r="L159" s="157" t="n">
        <x:v>2</x:v>
      </x:c>
      <x:c r="M159" s="157" t="str">
        <x:v>Manual Review</x:v>
      </x:c>
      <x:c r="N159" s="166" t="n">
        <x:v>1719076.29</x:v>
      </x:c>
      <x:c r="O159" s="157" t="n">
        <x:v>0</x:v>
      </x:c>
      <x:c r="P159" s="157" t="str">
        <x:v>test</x:v>
      </x:c>
    </x:row>
    <x:row r="160">
      <x:c r="A160" s="157" t="str">
        <x:v>L037642</x:v>
      </x:c>
      <x:c r="B160" s="165" t="n">
        <x:v>45078</x:v>
      </x:c>
      <x:c r="C160" s="157" t="str">
        <x:v>Retail</x:v>
      </x:c>
      <x:c r="D160" s="157" t="str">
        <x:v>term_loan</x:v>
      </x:c>
      <x:c r="E160" s="157" t="str">
        <x:v>partially_secured</x:v>
      </x:c>
      <x:c r="F160" s="157" t="str">
        <x:v>B</x:v>
      </x:c>
      <x:c r="G160" s="157" t="n">
        <x:v>638</x:v>
      </x:c>
      <x:c r="H160" s="166" t="n">
        <x:v>7922904.12</x:v>
      </x:c>
      <x:c r="I160" s="162" t="n">
        <x:v>0.7942</x:v>
      </x:c>
      <x:c r="J160" s="162" t="n">
        <x:v>0.272254</x:v>
      </x:c>
      <x:c r="K160" s="157" t="str">
        <x:v>High</x:v>
      </x:c>
      <x:c r="L160" s="157" t="n">
        <x:v>1</x:v>
      </x:c>
      <x:c r="M160" s="157" t="str">
        <x:v>Manual Review</x:v>
      </x:c>
      <x:c r="N160" s="166" t="n">
        <x:v>1713123.03</x:v>
      </x:c>
      <x:c r="O160" s="157" t="n">
        <x:v>0</x:v>
      </x:c>
      <x:c r="P160" s="157" t="str">
        <x:v>test</x:v>
      </x:c>
    </x:row>
    <x:row r="161">
      <x:c r="A161" s="157" t="str">
        <x:v>L027213</x:v>
      </x:c>
      <x:c r="B161" s="165" t="n">
        <x:v>45139</x:v>
      </x:c>
      <x:c r="C161" s="157" t="str">
        <x:v>Utilities</x:v>
      </x:c>
      <x:c r="D161" s="157" t="str">
        <x:v>term_loan</x:v>
      </x:c>
      <x:c r="E161" s="157" t="str">
        <x:v>secured</x:v>
      </x:c>
      <x:c r="F161" s="157" t="str">
        <x:v>CCC</x:v>
      </x:c>
      <x:c r="G161" s="157" t="n">
        <x:v>615</x:v>
      </x:c>
      <x:c r="H161" s="166" t="n">
        <x:v>8743960.3</x:v>
      </x:c>
      <x:c r="I161" s="162" t="n">
        <x:v>0.5096</x:v>
      </x:c>
      <x:c r="J161" s="162" t="n">
        <x:v>0.383425</x:v>
      </x:c>
      <x:c r="K161" s="157" t="str">
        <x:v>Very High</x:v>
      </x:c>
      <x:c r="L161" s="157" t="n">
        <x:v>1</x:v>
      </x:c>
      <x:c r="M161" s="157" t="str">
        <x:v>Manual Review</x:v>
      </x:c>
      <x:c r="N161" s="166" t="n">
        <x:v>1708511.96</x:v>
      </x:c>
      <x:c r="O161" s="157" t="n">
        <x:v>0</x:v>
      </x:c>
      <x:c r="P161" s="157" t="str">
        <x:v>test</x:v>
      </x:c>
    </x:row>
    <x:row r="162">
      <x:c r="A162" s="157" t="str">
        <x:v>L042976</x:v>
      </x:c>
      <x:c r="B162" s="165" t="n">
        <x:v>44835</x:v>
      </x:c>
      <x:c r="C162" s="157" t="str">
        <x:v>Real_Estate</x:v>
      </x:c>
      <x:c r="D162" s="157" t="str">
        <x:v>revolving</x:v>
      </x:c>
      <x:c r="E162" s="157" t="str">
        <x:v>secured</x:v>
      </x:c>
      <x:c r="F162" s="157" t="str">
        <x:v>BB</x:v>
      </x:c>
      <x:c r="G162" s="157" t="n">
        <x:v>686</x:v>
      </x:c>
      <x:c r="H162" s="166" t="n">
        <x:v>16055985.46</x:v>
      </x:c>
      <x:c r="I162" s="162" t="n">
        <x:v>0.5069</x:v>
      </x:c>
      <x:c r="J162" s="162" t="n">
        <x:v>0.208542</x:v>
      </x:c>
      <x:c r="K162" s="157" t="str">
        <x:v>High</x:v>
      </x:c>
      <x:c r="L162" s="157" t="n">
        <x:v>2</x:v>
      </x:c>
      <x:c r="M162" s="157" t="str">
        <x:v>Manual Review</x:v>
      </x:c>
      <x:c r="N162" s="166" t="n">
        <x:v>1697277.26</x:v>
      </x:c>
      <x:c r="O162" s="157" t="n">
        <x:v>0</x:v>
      </x:c>
      <x:c r="P162" s="157" t="str">
        <x:v>test</x:v>
      </x:c>
    </x:row>
    <x:row r="163">
      <x:c r="A163" s="157" t="str">
        <x:v>L020369</x:v>
      </x:c>
      <x:c r="B163" s="165" t="n">
        <x:v>45017</x:v>
      </x:c>
      <x:c r="C163" s="157" t="str">
        <x:v>Energy</x:v>
      </x:c>
      <x:c r="D163" s="157" t="str">
        <x:v>term_loan</x:v>
      </x:c>
      <x:c r="E163" s="157" t="str">
        <x:v>secured</x:v>
      </x:c>
      <x:c r="F163" s="157" t="str">
        <x:v>CCC</x:v>
      </x:c>
      <x:c r="G163" s="157" t="n">
        <x:v>649</x:v>
      </x:c>
      <x:c r="H163" s="166" t="n">
        <x:v>7176495.38</x:v>
      </x:c>
      <x:c r="I163" s="162" t="n">
        <x:v>0.6021</x:v>
      </x:c>
      <x:c r="J163" s="162" t="n">
        <x:v>0.387146</x:v>
      </x:c>
      <x:c r="K163" s="157" t="str">
        <x:v>Very High</x:v>
      </x:c>
      <x:c r="L163" s="157" t="n">
        <x:v>1</x:v>
      </x:c>
      <x:c r="M163" s="157" t="str">
        <x:v>Manual Review</x:v>
      </x:c>
      <x:c r="N163" s="166" t="n">
        <x:v>1672845.43</x:v>
      </x:c>
      <x:c r="O163" s="157" t="n">
        <x:v>0</x:v>
      </x:c>
      <x:c r="P163" s="157" t="str">
        <x:v>test</x:v>
      </x:c>
    </x:row>
    <x:row r="164">
      <x:c r="A164" s="157" t="str">
        <x:v>L033639</x:v>
      </x:c>
      <x:c r="B164" s="165" t="n">
        <x:v>44896</x:v>
      </x:c>
      <x:c r="C164" s="157" t="str">
        <x:v>Industrials</x:v>
      </x:c>
      <x:c r="D164" s="157" t="str">
        <x:v>revolving</x:v>
      </x:c>
      <x:c r="E164" s="157" t="str">
        <x:v>unsecured</x:v>
      </x:c>
      <x:c r="F164" s="157" t="str">
        <x:v>B</x:v>
      </x:c>
      <x:c r="G164" s="157" t="n">
        <x:v>623</x:v>
      </x:c>
      <x:c r="H164" s="166" t="n">
        <x:v>11042300.31</x:v>
      </x:c>
      <x:c r="I164" s="162" t="n">
        <x:v>0.6429</x:v>
      </x:c>
      <x:c r="J164" s="162" t="n">
        <x:v>0.235504</x:v>
      </x:c>
      <x:c r="K164" s="157" t="str">
        <x:v>High</x:v>
      </x:c>
      <x:c r="L164" s="157" t="n">
        <x:v>2</x:v>
      </x:c>
      <x:c r="M164" s="157" t="str">
        <x:v>Manual Review</x:v>
      </x:c>
      <x:c r="N164" s="166" t="n">
        <x:v>1671865.24</x:v>
      </x:c>
      <x:c r="O164" s="157" t="n">
        <x:v>0</x:v>
      </x:c>
      <x:c r="P164" s="157" t="str">
        <x:v>test</x:v>
      </x:c>
    </x:row>
    <x:row r="165">
      <x:c r="A165" s="157" t="str">
        <x:v>L034259</x:v>
      </x:c>
      <x:c r="B165" s="165" t="n">
        <x:v>45017</x:v>
      </x:c>
      <x:c r="C165" s="157" t="str">
        <x:v>Financials</x:v>
      </x:c>
      <x:c r="D165" s="157" t="str">
        <x:v>lease</x:v>
      </x:c>
      <x:c r="E165" s="157" t="str">
        <x:v>unsecured</x:v>
      </x:c>
      <x:c r="F165" s="157" t="str">
        <x:v>BBB</x:v>
      </x:c>
      <x:c r="G165" s="157" t="n">
        <x:v>681</x:v>
      </x:c>
      <x:c r="H165" s="166" t="n">
        <x:v>13230250.84</x:v>
      </x:c>
      <x:c r="I165" s="162" t="n">
        <x:v>0.7171</x:v>
      </x:c>
      <x:c r="J165" s="162" t="n">
        <x:v>0.17603</x:v>
      </x:c>
      <x:c r="K165" s="157" t="str">
        <x:v>High</x:v>
      </x:c>
      <x:c r="L165" s="157" t="n">
        <x:v>4</x:v>
      </x:c>
      <x:c r="M165" s="157" t="str">
        <x:v>Manual Review</x:v>
      </x:c>
      <x:c r="N165" s="166" t="n">
        <x:v>1670069.29</x:v>
      </x:c>
      <x:c r="O165" s="157" t="n">
        <x:v>0</x:v>
      </x:c>
      <x:c r="P165" s="157" t="str">
        <x:v>test</x:v>
      </x:c>
    </x:row>
    <x:row r="166">
      <x:c r="A166" s="157" t="str">
        <x:v>L021776</x:v>
      </x:c>
      <x:c r="B166" s="165" t="n">
        <x:v>44866</x:v>
      </x:c>
      <x:c r="C166" s="157" t="str">
        <x:v>Real_Estate</x:v>
      </x:c>
      <x:c r="D166" s="157" t="str">
        <x:v>mortgage</x:v>
      </x:c>
      <x:c r="E166" s="157" t="str">
        <x:v>secured</x:v>
      </x:c>
      <x:c r="F166" s="157" t="str">
        <x:v>CCC</x:v>
      </x:c>
      <x:c r="G166" s="157" t="n">
        <x:v>670</x:v>
      </x:c>
      <x:c r="H166" s="166" t="n">
        <x:v>15190101.7</x:v>
      </x:c>
      <x:c r="I166" s="162" t="n">
        <x:v>0.2735</x:v>
      </x:c>
      <x:c r="J166" s="162" t="n">
        <x:v>0.401564</x:v>
      </x:c>
      <x:c r="K166" s="157" t="str">
        <x:v>Very High</x:v>
      </x:c>
      <x:c r="L166" s="157" t="n">
        <x:v>1</x:v>
      </x:c>
      <x:c r="M166" s="157" t="str">
        <x:v>Manual Review</x:v>
      </x:c>
      <x:c r="N166" s="166" t="n">
        <x:v>1668294.75</x:v>
      </x:c>
      <x:c r="O166" s="157" t="n">
        <x:v>1</x:v>
      </x:c>
      <x:c r="P166" s="157" t="str">
        <x:v>test</x:v>
      </x:c>
    </x:row>
    <x:row r="167">
      <x:c r="A167" s="157" t="str">
        <x:v>L003041</x:v>
      </x:c>
      <x:c r="B167" s="165" t="n">
        <x:v>45200</x:v>
      </x:c>
      <x:c r="C167" s="157" t="str">
        <x:v>Utilities</x:v>
      </x:c>
      <x:c r="D167" s="157" t="str">
        <x:v>term_loan</x:v>
      </x:c>
      <x:c r="E167" s="157" t="str">
        <x:v>partially_secured</x:v>
      </x:c>
      <x:c r="F167" s="157" t="str">
        <x:v>CCC</x:v>
      </x:c>
      <x:c r="G167" s="157" t="n">
        <x:v>633</x:v>
      </x:c>
      <x:c r="H167" s="166" t="n">
        <x:v>7688328.06</x:v>
      </x:c>
      <x:c r="I167" s="162" t="n">
        <x:v>0.5384</x:v>
      </x:c>
      <x:c r="J167" s="162" t="n">
        <x:v>0.402777</x:v>
      </x:c>
      <x:c r="K167" s="157" t="str">
        <x:v>Very High</x:v>
      </x:c>
      <x:c r="L167" s="157" t="n">
        <x:v>1</x:v>
      </x:c>
      <x:c r="M167" s="157" t="str">
        <x:v>Manual Review</x:v>
      </x:c>
      <x:c r="N167" s="166" t="n">
        <x:v>1667253.43</x:v>
      </x:c>
      <x:c r="O167" s="157" t="n">
        <x:v>0</x:v>
      </x:c>
      <x:c r="P167" s="157" t="str">
        <x:v>test</x:v>
      </x:c>
    </x:row>
    <x:row r="168">
      <x:c r="A168" s="157" t="str">
        <x:v>L018474</x:v>
      </x:c>
      <x:c r="B168" s="165" t="n">
        <x:v>45078</x:v>
      </x:c>
      <x:c r="C168" s="157" t="str">
        <x:v>Energy</x:v>
      </x:c>
      <x:c r="D168" s="157" t="str">
        <x:v>term_loan</x:v>
      </x:c>
      <x:c r="E168" s="157" t="str">
        <x:v>unsecured</x:v>
      </x:c>
      <x:c r="F168" s="157" t="str">
        <x:v>B</x:v>
      </x:c>
      <x:c r="G168" s="157" t="n">
        <x:v>698</x:v>
      </x:c>
      <x:c r="H168" s="166" t="n">
        <x:v>9000575.29</x:v>
      </x:c>
      <x:c r="I168" s="162" t="n">
        <x:v>0.7731</x:v>
      </x:c>
      <x:c r="J168" s="162" t="n">
        <x:v>0.239358</x:v>
      </x:c>
      <x:c r="K168" s="157" t="str">
        <x:v>High</x:v>
      </x:c>
      <x:c r="L168" s="157" t="n">
        <x:v>2</x:v>
      </x:c>
      <x:c r="M168" s="157" t="str">
        <x:v>Manual Review</x:v>
      </x:c>
      <x:c r="N168" s="166" t="n">
        <x:v>1665535.48</x:v>
      </x:c>
      <x:c r="O168" s="157" t="n">
        <x:v>0</x:v>
      </x:c>
      <x:c r="P168" s="157" t="str">
        <x:v>test</x:v>
      </x:c>
    </x:row>
    <x:row r="169">
      <x:c r="A169" s="157" t="str">
        <x:v>L002956</x:v>
      </x:c>
      <x:c r="B169" s="165" t="n">
        <x:v>44958</x:v>
      </x:c>
      <x:c r="C169" s="157" t="str">
        <x:v>Financials</x:v>
      </x:c>
      <x:c r="D169" s="157" t="str">
        <x:v>mortgage</x:v>
      </x:c>
      <x:c r="E169" s="157" t="str">
        <x:v>partially_secured</x:v>
      </x:c>
      <x:c r="F169" s="157" t="str">
        <x:v>BB</x:v>
      </x:c>
      <x:c r="G169" s="157" t="n">
        <x:v>632</x:v>
      </x:c>
      <x:c r="H169" s="166" t="n">
        <x:v>22105912.65</x:v>
      </x:c>
      <x:c r="I169" s="162" t="n">
        <x:v>0.4297</x:v>
      </x:c>
      <x:c r="J169" s="162" t="n">
        <x:v>0.173006</x:v>
      </x:c>
      <x:c r="K169" s="157" t="str">
        <x:v>High</x:v>
      </x:c>
      <x:c r="L169" s="157" t="n">
        <x:v>4</x:v>
      </x:c>
      <x:c r="M169" s="157" t="str">
        <x:v>Manual Review</x:v>
      </x:c>
      <x:c r="N169" s="166" t="n">
        <x:v>1643368.54</x:v>
      </x:c>
      <x:c r="O169" s="157" t="n">
        <x:v>0</x:v>
      </x:c>
      <x:c r="P169" s="157" t="str">
        <x:v>test</x:v>
      </x:c>
    </x:row>
    <x:row r="170">
      <x:c r="A170" s="157" t="str">
        <x:v>L008235</x:v>
      </x:c>
      <x:c r="B170" s="165" t="n">
        <x:v>44835</x:v>
      </x:c>
      <x:c r="C170" s="157" t="str">
        <x:v>Telecom</x:v>
      </x:c>
      <x:c r="D170" s="157" t="str">
        <x:v>term_loan</x:v>
      </x:c>
      <x:c r="E170" s="157" t="str">
        <x:v>secured</x:v>
      </x:c>
      <x:c r="F170" s="157" t="str">
        <x:v>BBB</x:v>
      </x:c>
      <x:c r="G170" s="157" t="n">
        <x:v>694</x:v>
      </x:c>
      <x:c r="H170" s="166" t="n">
        <x:v>13515038.45</x:v>
      </x:c>
      <x:c r="I170" s="162" t="n">
        <x:v>0.6204</x:v>
      </x:c>
      <x:c r="J170" s="162" t="n">
        <x:v>0.195656</x:v>
      </x:c>
      <x:c r="K170" s="157" t="str">
        <x:v>High</x:v>
      </x:c>
      <x:c r="L170" s="157" t="n">
        <x:v>3</x:v>
      </x:c>
      <x:c r="M170" s="157" t="str">
        <x:v>Manual Review</x:v>
      </x:c>
      <x:c r="N170" s="166" t="n">
        <x:v>1640522.7</x:v>
      </x:c>
      <x:c r="O170" s="157" t="n">
        <x:v>0</x:v>
      </x:c>
      <x:c r="P170" s="157" t="str">
        <x:v>test</x:v>
      </x:c>
    </x:row>
    <x:row r="171">
      <x:c r="A171" s="157" t="str">
        <x:v>L023198</x:v>
      </x:c>
      <x:c r="B171" s="165" t="n">
        <x:v>45078</x:v>
      </x:c>
      <x:c r="C171" s="157" t="str">
        <x:v>Industrials</x:v>
      </x:c>
      <x:c r="D171" s="157" t="str">
        <x:v>bond</x:v>
      </x:c>
      <x:c r="E171" s="157" t="str">
        <x:v>secured</x:v>
      </x:c>
      <x:c r="F171" s="157" t="str">
        <x:v>CCC</x:v>
      </x:c>
      <x:c r="G171" s="157" t="n">
        <x:v>616</x:v>
      </x:c>
      <x:c r="H171" s="166" t="n">
        <x:v>8959239.14</x:v>
      </x:c>
      <x:c r="I171" s="162" t="n">
        <x:v>0.4635</x:v>
      </x:c>
      <x:c r="J171" s="162" t="n">
        <x:v>0.393677</x:v>
      </x:c>
      <x:c r="K171" s="157" t="str">
        <x:v>Very High</x:v>
      </x:c>
      <x:c r="L171" s="157" t="n">
        <x:v>1</x:v>
      </x:c>
      <x:c r="M171" s="157" t="str">
        <x:v>Manual Review</x:v>
      </x:c>
      <x:c r="N171" s="166" t="n">
        <x:v>1634786</x:v>
      </x:c>
      <x:c r="O171" s="157" t="n">
        <x:v>0</x:v>
      </x:c>
      <x:c r="P171" s="157" t="str">
        <x:v>test</x:v>
      </x:c>
    </x:row>
    <x:row r="172">
      <x:c r="A172" s="157" t="str">
        <x:v>L018335</x:v>
      </x:c>
      <x:c r="B172" s="165" t="n">
        <x:v>44866</x:v>
      </x:c>
      <x:c r="C172" s="157" t="str">
        <x:v>Financials</x:v>
      </x:c>
      <x:c r="D172" s="157" t="str">
        <x:v>bond</x:v>
      </x:c>
      <x:c r="E172" s="157" t="str">
        <x:v>secured</x:v>
      </x:c>
      <x:c r="F172" s="157" t="str">
        <x:v>CCC</x:v>
      </x:c>
      <x:c r="G172" s="157" t="n">
        <x:v>660</x:v>
      </x:c>
      <x:c r="H172" s="166" t="n">
        <x:v>9656335.56</x:v>
      </x:c>
      <x:c r="I172" s="162" t="n">
        <x:v>0.4413</x:v>
      </x:c>
      <x:c r="J172" s="162" t="n">
        <x:v>0.381414</x:v>
      </x:c>
      <x:c r="K172" s="157" t="str">
        <x:v>Very High</x:v>
      </x:c>
      <x:c r="L172" s="157" t="n">
        <x:v>1</x:v>
      </x:c>
      <x:c r="M172" s="157" t="str">
        <x:v>Manual Review</x:v>
      </x:c>
      <x:c r="N172" s="166" t="n">
        <x:v>1625335.07</x:v>
      </x:c>
      <x:c r="O172" s="157" t="n">
        <x:v>1</x:v>
      </x:c>
      <x:c r="P172" s="157" t="str">
        <x:v>test</x:v>
      </x:c>
    </x:row>
    <x:row r="173">
      <x:c r="A173" s="157" t="str">
        <x:v>L033157</x:v>
      </x:c>
      <x:c r="B173" s="165" t="n">
        <x:v>44652</x:v>
      </x:c>
      <x:c r="C173" s="157" t="str">
        <x:v>Telecom</x:v>
      </x:c>
      <x:c r="D173" s="157" t="str">
        <x:v>revolving</x:v>
      </x:c>
      <x:c r="E173" s="157" t="str">
        <x:v>unsecured</x:v>
      </x:c>
      <x:c r="F173" s="157" t="str">
        <x:v>B</x:v>
      </x:c>
      <x:c r="G173" s="157" t="n">
        <x:v>644</x:v>
      </x:c>
      <x:c r="H173" s="166" t="n">
        <x:v>9673188.74</x:v>
      </x:c>
      <x:c r="I173" s="162" t="n">
        <x:v>0.6623</x:v>
      </x:c>
      <x:c r="J173" s="162" t="n">
        <x:v>0.253449</x:v>
      </x:c>
      <x:c r="K173" s="157" t="str">
        <x:v>High</x:v>
      </x:c>
      <x:c r="L173" s="157" t="n">
        <x:v>2</x:v>
      </x:c>
      <x:c r="M173" s="157" t="str">
        <x:v>Manual Review</x:v>
      </x:c>
      <x:c r="N173" s="166" t="n">
        <x:v>1623734.43</x:v>
      </x:c>
      <x:c r="O173" s="157" t="n">
        <x:v>0</x:v>
      </x:c>
      <x:c r="P173" s="157" t="str">
        <x:v>test</x:v>
      </x:c>
    </x:row>
    <x:row r="174">
      <x:c r="A174" s="157" t="str">
        <x:v>L010740</x:v>
      </x:c>
      <x:c r="B174" s="165" t="n">
        <x:v>44927</x:v>
      </x:c>
      <x:c r="C174" s="157" t="str">
        <x:v>Energy</x:v>
      </x:c>
      <x:c r="D174" s="157" t="str">
        <x:v>revolving</x:v>
      </x:c>
      <x:c r="E174" s="157" t="str">
        <x:v>partially_secured</x:v>
      </x:c>
      <x:c r="F174" s="157" t="str">
        <x:v>BB</x:v>
      </x:c>
      <x:c r="G174" s="157" t="n">
        <x:v>730</x:v>
      </x:c>
      <x:c r="H174" s="166" t="n">
        <x:v>18993829.72</x:v>
      </x:c>
      <x:c r="I174" s="162" t="n">
        <x:v>0.5006</x:v>
      </x:c>
      <x:c r="J174" s="162" t="n">
        <x:v>0.170665</x:v>
      </x:c>
      <x:c r="K174" s="157" t="str">
        <x:v>High</x:v>
      </x:c>
      <x:c r="L174" s="157" t="n">
        <x:v>4</x:v>
      </x:c>
      <x:c r="M174" s="157" t="str">
        <x:v>Manual Review</x:v>
      </x:c>
      <x:c r="N174" s="166" t="n">
        <x:v>1622735.92</x:v>
      </x:c>
      <x:c r="O174" s="157" t="n">
        <x:v>0</x:v>
      </x:c>
      <x:c r="P174" s="157" t="str">
        <x:v>test</x:v>
      </x:c>
    </x:row>
    <x:row r="175">
      <x:c r="A175" s="157" t="str">
        <x:v>L029302</x:v>
      </x:c>
      <x:c r="B175" s="165" t="n">
        <x:v>44682</x:v>
      </x:c>
      <x:c r="C175" s="157" t="str">
        <x:v>Healthcare</x:v>
      </x:c>
      <x:c r="D175" s="157" t="str">
        <x:v>mortgage</x:v>
      </x:c>
      <x:c r="E175" s="157" t="str">
        <x:v>unsecured</x:v>
      </x:c>
      <x:c r="F175" s="157" t="str">
        <x:v>CCC</x:v>
      </x:c>
      <x:c r="G175" s="157" t="n">
        <x:v>687</x:v>
      </x:c>
      <x:c r="H175" s="166" t="n">
        <x:v>7415453.18</x:v>
      </x:c>
      <x:c r="I175" s="162" t="n">
        <x:v>0.5815</x:v>
      </x:c>
      <x:c r="J175" s="162" t="n">
        <x:v>0.375445</x:v>
      </x:c>
      <x:c r="K175" s="157" t="str">
        <x:v>Very High</x:v>
      </x:c>
      <x:c r="L175" s="157" t="n">
        <x:v>1</x:v>
      </x:c>
      <x:c r="M175" s="157" t="str">
        <x:v>Manual Review</x:v>
      </x:c>
      <x:c r="N175" s="166" t="n">
        <x:v>1618951.14</x:v>
      </x:c>
      <x:c r="O175" s="157" t="n">
        <x:v>1</x:v>
      </x:c>
      <x:c r="P175" s="157" t="str">
        <x:v>test</x:v>
      </x:c>
    </x:row>
    <x:row r="176">
      <x:c r="A176" s="157" t="str">
        <x:v>L025457</x:v>
      </x:c>
      <x:c r="B176" s="165" t="n">
        <x:v>44958</x:v>
      </x:c>
      <x:c r="C176" s="157" t="str">
        <x:v>Telecom</x:v>
      </x:c>
      <x:c r="D176" s="157" t="str">
        <x:v>mortgage</x:v>
      </x:c>
      <x:c r="E176" s="157" t="str">
        <x:v>unsecured</x:v>
      </x:c>
      <x:c r="F176" s="157" t="str">
        <x:v>B</x:v>
      </x:c>
      <x:c r="G176" s="157" t="n">
        <x:v>671</x:v>
      </x:c>
      <x:c r="H176" s="166" t="n">
        <x:v>12697966.07</x:v>
      </x:c>
      <x:c r="I176" s="162" t="n">
        <x:v>0.5911</x:v>
      </x:c>
      <x:c r="J176" s="162" t="n">
        <x:v>0.21478</x:v>
      </x:c>
      <x:c r="K176" s="157" t="str">
        <x:v>High</x:v>
      </x:c>
      <x:c r="L176" s="157" t="n">
        <x:v>2</x:v>
      </x:c>
      <x:c r="M176" s="157" t="str">
        <x:v>Manual Review</x:v>
      </x:c>
      <x:c r="N176" s="166" t="n">
        <x:v>1612088.8</x:v>
      </x:c>
      <x:c r="O176" s="157" t="n">
        <x:v>0</x:v>
      </x:c>
      <x:c r="P176" s="157" t="str">
        <x:v>test</x:v>
      </x:c>
    </x:row>
    <x:row r="177">
      <x:c r="A177" s="157" t="str">
        <x:v>L026654</x:v>
      </x:c>
      <x:c r="B177" s="165" t="n">
        <x:v>44866</x:v>
      </x:c>
      <x:c r="C177" s="157" t="str">
        <x:v>Utilities</x:v>
      </x:c>
      <x:c r="D177" s="157" t="str">
        <x:v>term_loan</x:v>
      </x:c>
      <x:c r="E177" s="157" t="str">
        <x:v>unsecured</x:v>
      </x:c>
      <x:c r="F177" s="157" t="str">
        <x:v>BB</x:v>
      </x:c>
      <x:c r="G177" s="157" t="n">
        <x:v>749</x:v>
      </x:c>
      <x:c r="H177" s="166" t="n">
        <x:v>17444099.16</x:v>
      </x:c>
      <x:c r="I177" s="162" t="n">
        <x:v>0.509</x:v>
      </x:c>
      <x:c r="J177" s="162" t="n">
        <x:v>0.180497</x:v>
      </x:c>
      <x:c r="K177" s="157" t="str">
        <x:v>High</x:v>
      </x:c>
      <x:c r="L177" s="157" t="n">
        <x:v>3</x:v>
      </x:c>
      <x:c r="M177" s="157" t="str">
        <x:v>Manual Review</x:v>
      </x:c>
      <x:c r="N177" s="166" t="n">
        <x:v>1602641.25</x:v>
      </x:c>
      <x:c r="O177" s="157" t="n">
        <x:v>0</x:v>
      </x:c>
      <x:c r="P177" s="157" t="str">
        <x:v>test</x:v>
      </x:c>
    </x:row>
    <x:row r="178">
      <x:c r="A178" s="157" t="str">
        <x:v>L039685</x:v>
      </x:c>
      <x:c r="B178" s="165" t="n">
        <x:v>44682</x:v>
      </x:c>
      <x:c r="C178" s="157" t="str">
        <x:v>Real_Estate</x:v>
      </x:c>
      <x:c r="D178" s="157" t="str">
        <x:v>revolving</x:v>
      </x:c>
      <x:c r="E178" s="157" t="str">
        <x:v>secured</x:v>
      </x:c>
      <x:c r="F178" s="157" t="str">
        <x:v>CCC</x:v>
      </x:c>
      <x:c r="G178" s="157" t="n">
        <x:v>686</x:v>
      </x:c>
      <x:c r="H178" s="166" t="n">
        <x:v>7076571.23</x:v>
      </x:c>
      <x:c r="I178" s="162" t="n">
        <x:v>0.5408</x:v>
      </x:c>
      <x:c r="J178" s="162" t="n">
        <x:v>0.411827</x:v>
      </x:c>
      <x:c r="K178" s="157" t="str">
        <x:v>Very High</x:v>
      </x:c>
      <x:c r="L178" s="157" t="n">
        <x:v>1</x:v>
      </x:c>
      <x:c r="M178" s="157" t="str">
        <x:v>Manual Review</x:v>
      </x:c>
      <x:c r="N178" s="166" t="n">
        <x:v>1576065.93</x:v>
      </x:c>
      <x:c r="O178" s="157" t="n">
        <x:v>0</x:v>
      </x:c>
      <x:c r="P178" s="157" t="str">
        <x:v>test</x:v>
      </x:c>
    </x:row>
    <x:row r="179">
      <x:c r="A179" s="157" t="str">
        <x:v>L035433</x:v>
      </x:c>
      <x:c r="B179" s="165" t="n">
        <x:v>44896</x:v>
      </x:c>
      <x:c r="C179" s="157" t="str">
        <x:v>Financials</x:v>
      </x:c>
      <x:c r="D179" s="157" t="str">
        <x:v>bond</x:v>
      </x:c>
      <x:c r="E179" s="157" t="str">
        <x:v>unsecured</x:v>
      </x:c>
      <x:c r="F179" s="157" t="str">
        <x:v>CCC</x:v>
      </x:c>
      <x:c r="G179" s="157" t="n">
        <x:v>662</x:v>
      </x:c>
      <x:c r="H179" s="166" t="n">
        <x:v>4770440.01</x:v>
      </x:c>
      <x:c r="I179" s="162" t="n">
        <x:v>0.8155</x:v>
      </x:c>
      <x:c r="J179" s="162" t="n">
        <x:v>0.403857</x:v>
      </x:c>
      <x:c r="K179" s="157" t="str">
        <x:v>Very High</x:v>
      </x:c>
      <x:c r="L179" s="157" t="n">
        <x:v>1</x:v>
      </x:c>
      <x:c r="M179" s="157" t="str">
        <x:v>Manual Review</x:v>
      </x:c>
      <x:c r="N179" s="166" t="n">
        <x:v>1571122.39</x:v>
      </x:c>
      <x:c r="O179" s="157" t="n">
        <x:v>0</x:v>
      </x:c>
      <x:c r="P179" s="157" t="str">
        <x:v>test</x:v>
      </x:c>
    </x:row>
    <x:row r="180">
      <x:c r="A180" s="157" t="str">
        <x:v>L021423</x:v>
      </x:c>
      <x:c r="B180" s="165" t="n">
        <x:v>44896</x:v>
      </x:c>
      <x:c r="C180" s="157" t="str">
        <x:v>Healthcare</x:v>
      </x:c>
      <x:c r="D180" s="157" t="str">
        <x:v>bond</x:v>
      </x:c>
      <x:c r="E180" s="157" t="str">
        <x:v>secured</x:v>
      </x:c>
      <x:c r="F180" s="157" t="str">
        <x:v>BB</x:v>
      </x:c>
      <x:c r="G180" s="157" t="n">
        <x:v>645</x:v>
      </x:c>
      <x:c r="H180" s="166" t="n">
        <x:v>21331982.49</x:v>
      </x:c>
      <x:c r="I180" s="162" t="n">
        <x:v>0.3781</x:v>
      </x:c>
      <x:c r="J180" s="162" t="n">
        <x:v>0.194752</x:v>
      </x:c>
      <x:c r="K180" s="157" t="str">
        <x:v>High</x:v>
      </x:c>
      <x:c r="L180" s="157" t="n">
        <x:v>3</x:v>
      </x:c>
      <x:c r="M180" s="157" t="str">
        <x:v>Manual Review</x:v>
      </x:c>
      <x:c r="N180" s="166" t="n">
        <x:v>1570796.13</x:v>
      </x:c>
      <x:c r="O180" s="157" t="n">
        <x:v>0</x:v>
      </x:c>
      <x:c r="P180" s="157" t="str">
        <x:v>test</x:v>
      </x:c>
    </x:row>
    <x:row r="181">
      <x:c r="A181" s="157" t="str">
        <x:v>L021299</x:v>
      </x:c>
      <x:c r="B181" s="165" t="n">
        <x:v>44621</x:v>
      </x:c>
      <x:c r="C181" s="157" t="str">
        <x:v>Real_Estate</x:v>
      </x:c>
      <x:c r="D181" s="157" t="str">
        <x:v>mortgage</x:v>
      </x:c>
      <x:c r="E181" s="157" t="str">
        <x:v>partially_secured</x:v>
      </x:c>
      <x:c r="F181" s="157" t="str">
        <x:v>CCC</x:v>
      </x:c>
      <x:c r="G181" s="157" t="n">
        <x:v>677</x:v>
      </x:c>
      <x:c r="H181" s="166" t="n">
        <x:v>8648967.69</x:v>
      </x:c>
      <x:c r="I181" s="162" t="n">
        <x:v>0.471</x:v>
      </x:c>
      <x:c r="J181" s="162" t="n">
        <x:v>0.385263</x:v>
      </x:c>
      <x:c r="K181" s="157" t="str">
        <x:v>Very High</x:v>
      </x:c>
      <x:c r="L181" s="157" t="n">
        <x:v>1</x:v>
      </x:c>
      <x:c r="M181" s="157" t="str">
        <x:v>Manual Review</x:v>
      </x:c>
      <x:c r="N181" s="166" t="n">
        <x:v>1569431.93</x:v>
      </x:c>
      <x:c r="O181" s="157" t="n">
        <x:v>0</x:v>
      </x:c>
      <x:c r="P181" s="157" t="str">
        <x:v>test</x:v>
      </x:c>
    </x:row>
    <x:row r="182">
      <x:c r="A182" s="157" t="str">
        <x:v>L023950</x:v>
      </x:c>
      <x:c r="B182" s="165" t="n">
        <x:v>45017</x:v>
      </x:c>
      <x:c r="C182" s="157" t="str">
        <x:v>Financials</x:v>
      </x:c>
      <x:c r="D182" s="157" t="str">
        <x:v>bond</x:v>
      </x:c>
      <x:c r="E182" s="157" t="str">
        <x:v>unsecured</x:v>
      </x:c>
      <x:c r="F182" s="157" t="str">
        <x:v>BB</x:v>
      </x:c>
      <x:c r="G182" s="157" t="n">
        <x:v>641</x:v>
      </x:c>
      <x:c r="H182" s="166" t="n">
        <x:v>11160460.03</x:v>
      </x:c>
      <x:c r="I182" s="162" t="n">
        <x:v>0.7181</x:v>
      </x:c>
      <x:c r="J182" s="162" t="n">
        <x:v>0.195448</x:v>
      </x:c>
      <x:c r="K182" s="157" t="str">
        <x:v>High</x:v>
      </x:c>
      <x:c r="L182" s="157" t="n">
        <x:v>3</x:v>
      </x:c>
      <x:c r="M182" s="157" t="str">
        <x:v>Manual Review</x:v>
      </x:c>
      <x:c r="N182" s="166" t="n">
        <x:v>1566384.06</x:v>
      </x:c>
      <x:c r="O182" s="157" t="n">
        <x:v>0</x:v>
      </x:c>
      <x:c r="P182" s="157" t="str">
        <x:v>test</x:v>
      </x:c>
    </x:row>
    <x:row r="183">
      <x:c r="A183" s="157" t="str">
        <x:v>L024363</x:v>
      </x:c>
      <x:c r="B183" s="165" t="n">
        <x:v>45047</x:v>
      </x:c>
      <x:c r="C183" s="157" t="str">
        <x:v>Industrials</x:v>
      </x:c>
      <x:c r="D183" s="157" t="str">
        <x:v>revolving</x:v>
      </x:c>
      <x:c r="E183" s="157" t="str">
        <x:v>secured</x:v>
      </x:c>
      <x:c r="F183" s="157" t="str">
        <x:v>BBB</x:v>
      </x:c>
      <x:c r="G183" s="157" t="n">
        <x:v>756</x:v>
      </x:c>
      <x:c r="H183" s="166" t="n">
        <x:v>20796536.5</x:v>
      </x:c>
      <x:c r="I183" s="162" t="n">
        <x:v>0.4293</x:v>
      </x:c>
      <x:c r="J183" s="162" t="n">
        <x:v>0.175285</x:v>
      </x:c>
      <x:c r="K183" s="157" t="str">
        <x:v>High</x:v>
      </x:c>
      <x:c r="L183" s="157" t="n">
        <x:v>4</x:v>
      </x:c>
      <x:c r="M183" s="157" t="str">
        <x:v>Manual Review</x:v>
      </x:c>
      <x:c r="N183" s="166" t="n">
        <x:v>1564936.26</x:v>
      </x:c>
      <x:c r="O183" s="157" t="n">
        <x:v>0</x:v>
      </x:c>
      <x:c r="P183" s="157" t="str">
        <x:v>test</x:v>
      </x:c>
    </x:row>
    <x:row r="184">
      <x:c r="A184" s="157" t="str">
        <x:v>L038215</x:v>
      </x:c>
      <x:c r="B184" s="165" t="n">
        <x:v>45078</x:v>
      </x:c>
      <x:c r="C184" s="157" t="str">
        <x:v>Utilities</x:v>
      </x:c>
      <x:c r="D184" s="157" t="str">
        <x:v>bond</x:v>
      </x:c>
      <x:c r="E184" s="157" t="str">
        <x:v>unsecured</x:v>
      </x:c>
      <x:c r="F184" s="157" t="str">
        <x:v>BBB</x:v>
      </x:c>
      <x:c r="G184" s="157" t="n">
        <x:v>738</x:v>
      </x:c>
      <x:c r="H184" s="166" t="n">
        <x:v>12958129.64</x:v>
      </x:c>
      <x:c r="I184" s="162" t="n">
        <x:v>0.6548</x:v>
      </x:c>
      <x:c r="J184" s="162" t="n">
        <x:v>0.184007</x:v>
      </x:c>
      <x:c r="K184" s="157" t="str">
        <x:v>High</x:v>
      </x:c>
      <x:c r="L184" s="157" t="n">
        <x:v>3</x:v>
      </x:c>
      <x:c r="M184" s="157" t="str">
        <x:v>Manual Review</x:v>
      </x:c>
      <x:c r="N184" s="166" t="n">
        <x:v>1561296.32</x:v>
      </x:c>
      <x:c r="O184" s="157" t="n">
        <x:v>0</x:v>
      </x:c>
      <x:c r="P184" s="157" t="str">
        <x:v>test</x:v>
      </x:c>
    </x:row>
    <x:row r="185">
      <x:c r="A185" s="157" t="str">
        <x:v>L045801</x:v>
      </x:c>
      <x:c r="B185" s="165" t="n">
        <x:v>44774</x:v>
      </x:c>
      <x:c r="C185" s="157" t="str">
        <x:v>Technology</x:v>
      </x:c>
      <x:c r="D185" s="157" t="str">
        <x:v>mortgage</x:v>
      </x:c>
      <x:c r="E185" s="157" t="str">
        <x:v>partially_secured</x:v>
      </x:c>
      <x:c r="F185" s="157" t="str">
        <x:v>A</x:v>
      </x:c>
      <x:c r="G185" s="157" t="n">
        <x:v>684</x:v>
      </x:c>
      <x:c r="H185" s="166" t="n">
        <x:v>12521617.99</x:v>
      </x:c>
      <x:c r="I185" s="162" t="n">
        <x:v>0.7083</x:v>
      </x:c>
      <x:c r="J185" s="162" t="n">
        <x:v>0.17529</x:v>
      </x:c>
      <x:c r="K185" s="157" t="str">
        <x:v>High</x:v>
      </x:c>
      <x:c r="L185" s="157" t="n">
        <x:v>4</x:v>
      </x:c>
      <x:c r="M185" s="157" t="str">
        <x:v>Manual Review</x:v>
      </x:c>
      <x:c r="N185" s="166" t="n">
        <x:v>1554657.88</x:v>
      </x:c>
      <x:c r="O185" s="157" t="n">
        <x:v>0</x:v>
      </x:c>
      <x:c r="P185" s="157" t="str">
        <x:v>test</x:v>
      </x:c>
    </x:row>
    <x:row r="186">
      <x:c r="A186" s="157" t="str">
        <x:v>L027358</x:v>
      </x:c>
      <x:c r="B186" s="165" t="n">
        <x:v>45108</x:v>
      </x:c>
      <x:c r="C186" s="157" t="str">
        <x:v>Utilities</x:v>
      </x:c>
      <x:c r="D186" s="157" t="str">
        <x:v>mortgage</x:v>
      </x:c>
      <x:c r="E186" s="157" t="str">
        <x:v>unsecured</x:v>
      </x:c>
      <x:c r="F186" s="157" t="str">
        <x:v>B</x:v>
      </x:c>
      <x:c r="G186" s="157" t="n">
        <x:v>638</x:v>
      </x:c>
      <x:c r="H186" s="166" t="n">
        <x:v>9376172.79</x:v>
      </x:c>
      <x:c r="I186" s="162" t="n">
        <x:v>0.7609</x:v>
      </x:c>
      <x:c r="J186" s="162" t="n">
        <x:v>0.217513</x:v>
      </x:c>
      <x:c r="K186" s="157" t="str">
        <x:v>High</x:v>
      </x:c>
      <x:c r="L186" s="157" t="n">
        <x:v>2</x:v>
      </x:c>
      <x:c r="M186" s="157" t="str">
        <x:v>Manual Review</x:v>
      </x:c>
      <x:c r="N186" s="166" t="n">
        <x:v>1551809.49</x:v>
      </x:c>
      <x:c r="O186" s="157" t="n">
        <x:v>0</x:v>
      </x:c>
      <x:c r="P186" s="157" t="str">
        <x:v>test</x:v>
      </x:c>
    </x:row>
    <x:row r="187">
      <x:c r="A187" s="157" t="str">
        <x:v>L046439</x:v>
      </x:c>
      <x:c r="B187" s="165" t="n">
        <x:v>45017</x:v>
      </x:c>
      <x:c r="C187" s="157" t="str">
        <x:v>Telecom</x:v>
      </x:c>
      <x:c r="D187" s="157" t="str">
        <x:v>term_loan</x:v>
      </x:c>
      <x:c r="E187" s="157" t="str">
        <x:v>unsecured</x:v>
      </x:c>
      <x:c r="F187" s="157" t="str">
        <x:v>CCC</x:v>
      </x:c>
      <x:c r="G187" s="157" t="n">
        <x:v>606</x:v>
      </x:c>
      <x:c r="H187" s="166" t="n">
        <x:v>6468459.88</x:v>
      </x:c>
      <x:c r="I187" s="162" t="n">
        <x:v>0.6585</x:v>
      </x:c>
      <x:c r="J187" s="162" t="n">
        <x:v>0.362141</x:v>
      </x:c>
      <x:c r="K187" s="157" t="str">
        <x:v>Very High</x:v>
      </x:c>
      <x:c r="L187" s="157" t="n">
        <x:v>1</x:v>
      </x:c>
      <x:c r="M187" s="157" t="str">
        <x:v>Manual Review</x:v>
      </x:c>
      <x:c r="N187" s="166" t="n">
        <x:v>1542532.65</x:v>
      </x:c>
      <x:c r="O187" s="157" t="n">
        <x:v>0</x:v>
      </x:c>
      <x:c r="P187" s="157" t="str">
        <x:v>test</x:v>
      </x:c>
    </x:row>
    <x:row r="188">
      <x:c r="A188" s="157" t="str">
        <x:v>L021261</x:v>
      </x:c>
      <x:c r="B188" s="165" t="n">
        <x:v>44621</x:v>
      </x:c>
      <x:c r="C188" s="157" t="str">
        <x:v>Financials</x:v>
      </x:c>
      <x:c r="D188" s="157" t="str">
        <x:v>term_loan</x:v>
      </x:c>
      <x:c r="E188" s="157" t="str">
        <x:v>unsecured</x:v>
      </x:c>
      <x:c r="F188" s="157" t="str">
        <x:v>CCC</x:v>
      </x:c>
      <x:c r="G188" s="157" t="n">
        <x:v>654</x:v>
      </x:c>
      <x:c r="H188" s="166" t="n">
        <x:v>6067664.41</x:v>
      </x:c>
      <x:c r="I188" s="162" t="n">
        <x:v>0.7087</x:v>
      </x:c>
      <x:c r="J188" s="162" t="n">
        <x:v>0.356166</x:v>
      </x:c>
      <x:c r="K188" s="157" t="str">
        <x:v>Very High</x:v>
      </x:c>
      <x:c r="L188" s="157" t="n">
        <x:v>1</x:v>
      </x:c>
      <x:c r="M188" s="157" t="str">
        <x:v>Manual Review</x:v>
      </x:c>
      <x:c r="N188" s="166" t="n">
        <x:v>1531568.57</x:v>
      </x:c>
      <x:c r="O188" s="157" t="n">
        <x:v>0</x:v>
      </x:c>
      <x:c r="P188" s="157" t="str">
        <x:v>test</x:v>
      </x:c>
    </x:row>
    <x:row r="189">
      <x:c r="A189" s="157" t="str">
        <x:v>L001541</x:v>
      </x:c>
      <x:c r="B189" s="165" t="n">
        <x:v>45078</x:v>
      </x:c>
      <x:c r="C189" s="157" t="str">
        <x:v>Consumer</x:v>
      </x:c>
      <x:c r="D189" s="157" t="str">
        <x:v>bond</x:v>
      </x:c>
      <x:c r="E189" s="157" t="str">
        <x:v>unsecured</x:v>
      </x:c>
      <x:c r="F189" s="157" t="str">
        <x:v>BBB</x:v>
      </x:c>
      <x:c r="G189" s="157" t="n">
        <x:v>638</x:v>
      </x:c>
      <x:c r="H189" s="166" t="n">
        <x:v>11128816.48</x:v>
      </x:c>
      <x:c r="I189" s="162" t="n">
        <x:v>0.7928</x:v>
      </x:c>
      <x:c r="J189" s="162" t="n">
        <x:v>0.172573</x:v>
      </x:c>
      <x:c r="K189" s="157" t="str">
        <x:v>High</x:v>
      </x:c>
      <x:c r="L189" s="157" t="n">
        <x:v>4</x:v>
      </x:c>
      <x:c r="M189" s="157" t="str">
        <x:v>Manual Review</x:v>
      </x:c>
      <x:c r="N189" s="166" t="n">
        <x:v>1522598.76</x:v>
      </x:c>
      <x:c r="O189" s="157" t="n">
        <x:v>0</x:v>
      </x:c>
      <x:c r="P189" s="157" t="str">
        <x:v>test</x:v>
      </x:c>
    </x:row>
    <x:row r="190">
      <x:c r="A190" s="157" t="str">
        <x:v>L006315</x:v>
      </x:c>
      <x:c r="B190" s="165" t="n">
        <x:v>45200</x:v>
      </x:c>
      <x:c r="C190" s="157" t="str">
        <x:v>Financials</x:v>
      </x:c>
      <x:c r="D190" s="157" t="str">
        <x:v>term_loan</x:v>
      </x:c>
      <x:c r="E190" s="157" t="str">
        <x:v>secured</x:v>
      </x:c>
      <x:c r="F190" s="157" t="str">
        <x:v>BB</x:v>
      </x:c>
      <x:c r="G190" s="157" t="n">
        <x:v>635</x:v>
      </x:c>
      <x:c r="H190" s="166" t="n">
        <x:v>20281819.33</x:v>
      </x:c>
      <x:c r="I190" s="162" t="n">
        <x:v>0.3521</x:v>
      </x:c>
      <x:c r="J190" s="162" t="n">
        <x:v>0.212002</x:v>
      </x:c>
      <x:c r="K190" s="157" t="str">
        <x:v>High</x:v>
      </x:c>
      <x:c r="L190" s="157" t="n">
        <x:v>2</x:v>
      </x:c>
      <x:c r="M190" s="157" t="str">
        <x:v>Manual Review</x:v>
      </x:c>
      <x:c r="N190" s="166" t="n">
        <x:v>1513954.74</x:v>
      </x:c>
      <x:c r="O190" s="157" t="n">
        <x:v>0</x:v>
      </x:c>
      <x:c r="P190" s="157" t="str">
        <x:v>test</x:v>
      </x:c>
    </x:row>
    <x:row r="191">
      <x:c r="A191" s="157" t="str">
        <x:v>L001810</x:v>
      </x:c>
      <x:c r="B191" s="165" t="n">
        <x:v>44835</x:v>
      </x:c>
      <x:c r="C191" s="157" t="str">
        <x:v>Real_Estate</x:v>
      </x:c>
      <x:c r="D191" s="157" t="str">
        <x:v>revolving</x:v>
      </x:c>
      <x:c r="E191" s="157" t="str">
        <x:v>partially_secured</x:v>
      </x:c>
      <x:c r="F191" s="157" t="str">
        <x:v>CCC</x:v>
      </x:c>
      <x:c r="G191" s="157" t="n">
        <x:v>665</x:v>
      </x:c>
      <x:c r="H191" s="166" t="n">
        <x:v>6016757.25</x:v>
      </x:c>
      <x:c r="I191" s="162" t="n">
        <x:v>0.5486</x:v>
      </x:c>
      <x:c r="J191" s="162" t="n">
        <x:v>0.458347</x:v>
      </x:c>
      <x:c r="K191" s="157" t="str">
        <x:v>Very High</x:v>
      </x:c>
      <x:c r="L191" s="157" t="n">
        <x:v>1</x:v>
      </x:c>
      <x:c r="M191" s="157" t="str">
        <x:v>Manual Review</x:v>
      </x:c>
      <x:c r="N191" s="166" t="n">
        <x:v>1512908.58</x:v>
      </x:c>
      <x:c r="O191" s="157" t="n">
        <x:v>0</x:v>
      </x:c>
      <x:c r="P191" s="157" t="str">
        <x:v>test</x:v>
      </x:c>
    </x:row>
    <x:row r="192">
      <x:c r="A192" s="157" t="str">
        <x:v>L035651</x:v>
      </x:c>
      <x:c r="B192" s="165" t="n">
        <x:v>45017</x:v>
      </x:c>
      <x:c r="C192" s="157" t="str">
        <x:v>Real_Estate</x:v>
      </x:c>
      <x:c r="D192" s="157" t="str">
        <x:v>mortgage</x:v>
      </x:c>
      <x:c r="E192" s="157" t="str">
        <x:v>secured</x:v>
      </x:c>
      <x:c r="F192" s="157" t="str">
        <x:v>BBB</x:v>
      </x:c>
      <x:c r="G192" s="157" t="n">
        <x:v>715</x:v>
      </x:c>
      <x:c r="H192" s="166" t="n">
        <x:v>12767634.19</x:v>
      </x:c>
      <x:c r="I192" s="162" t="n">
        <x:v>0.6593</x:v>
      </x:c>
      <x:c r="J192" s="162" t="n">
        <x:v>0.179728</x:v>
      </x:c>
      <x:c r="K192" s="157" t="str">
        <x:v>High</x:v>
      </x:c>
      <x:c r="L192" s="157" t="n">
        <x:v>3</x:v>
      </x:c>
      <x:c r="M192" s="157" t="str">
        <x:v>Manual Review</x:v>
      </x:c>
      <x:c r="N192" s="166" t="n">
        <x:v>1512896.61</x:v>
      </x:c>
      <x:c r="O192" s="157" t="n">
        <x:v>0</x:v>
      </x:c>
      <x:c r="P192" s="157" t="str">
        <x:v>test</x:v>
      </x:c>
    </x:row>
    <x:row r="193">
      <x:c r="A193" s="157" t="str">
        <x:v>L010304</x:v>
      </x:c>
      <x:c r="B193" s="165" t="n">
        <x:v>44986</x:v>
      </x:c>
      <x:c r="C193" s="157" t="str">
        <x:v>Consumer</x:v>
      </x:c>
      <x:c r="D193" s="157" t="str">
        <x:v>revolving</x:v>
      </x:c>
      <x:c r="E193" s="157" t="str">
        <x:v>unsecured</x:v>
      </x:c>
      <x:c r="F193" s="157" t="str">
        <x:v>BBB</x:v>
      </x:c>
      <x:c r="G193" s="157" t="n">
        <x:v>686</x:v>
      </x:c>
      <x:c r="H193" s="166" t="n">
        <x:v>11277242.89</x:v>
      </x:c>
      <x:c r="I193" s="162" t="n">
        <x:v>0.707</x:v>
      </x:c>
      <x:c r="J193" s="162" t="n">
        <x:v>0.189397</x:v>
      </x:c>
      <x:c r="K193" s="157" t="str">
        <x:v>High</x:v>
      </x:c>
      <x:c r="L193" s="157" t="n">
        <x:v>3</x:v>
      </x:c>
      <x:c r="M193" s="157" t="str">
        <x:v>Manual Review</x:v>
      </x:c>
      <x:c r="N193" s="166" t="n">
        <x:v>1510064.31</x:v>
      </x:c>
      <x:c r="O193" s="157" t="n">
        <x:v>0</x:v>
      </x:c>
      <x:c r="P193" s="157" t="str">
        <x:v>test</x:v>
      </x:c>
    </x:row>
    <x:row r="194">
      <x:c r="A194" s="157" t="str">
        <x:v>L013609</x:v>
      </x:c>
      <x:c r="B194" s="165" t="n">
        <x:v>45200</x:v>
      </x:c>
      <x:c r="C194" s="157" t="str">
        <x:v>Telecom</x:v>
      </x:c>
      <x:c r="D194" s="157" t="str">
        <x:v>term_loan</x:v>
      </x:c>
      <x:c r="E194" s="157" t="str">
        <x:v>unsecured</x:v>
      </x:c>
      <x:c r="F194" s="157" t="str">
        <x:v>CCC</x:v>
      </x:c>
      <x:c r="G194" s="157" t="n">
        <x:v>647</x:v>
      </x:c>
      <x:c r="H194" s="166" t="n">
        <x:v>5222408.13</x:v>
      </x:c>
      <x:c r="I194" s="162" t="n">
        <x:v>0.6953</x:v>
      </x:c>
      <x:c r="J194" s="162" t="n">
        <x:v>0.414831</x:v>
      </x:c>
      <x:c r="K194" s="157" t="str">
        <x:v>Very High</x:v>
      </x:c>
      <x:c r="L194" s="157" t="n">
        <x:v>1</x:v>
      </x:c>
      <x:c r="M194" s="157" t="str">
        <x:v>Manual Review</x:v>
      </x:c>
      <x:c r="N194" s="166" t="n">
        <x:v>1506309.59</x:v>
      </x:c>
      <x:c r="O194" s="157" t="n">
        <x:v>1</x:v>
      </x:c>
      <x:c r="P194" s="157" t="str">
        <x:v>test</x:v>
      </x:c>
    </x:row>
    <x:row r="195">
      <x:c r="A195" s="157" t="str">
        <x:v>L047691</x:v>
      </x:c>
      <x:c r="B195" s="165" t="n">
        <x:v>45139</x:v>
      </x:c>
      <x:c r="C195" s="157" t="str">
        <x:v>Real_Estate</x:v>
      </x:c>
      <x:c r="D195" s="157" t="str">
        <x:v>term_loan</x:v>
      </x:c>
      <x:c r="E195" s="157" t="str">
        <x:v>unsecured</x:v>
      </x:c>
      <x:c r="F195" s="157" t="str">
        <x:v>B</x:v>
      </x:c>
      <x:c r="G195" s="157" t="n">
        <x:v>693</x:v>
      </x:c>
      <x:c r="H195" s="166" t="n">
        <x:v>12842834.88</x:v>
      </x:c>
      <x:c r="I195" s="162" t="n">
        <x:v>0.5944</x:v>
      </x:c>
      <x:c r="J195" s="162" t="n">
        <x:v>0.196617</x:v>
      </x:c>
      <x:c r="K195" s="157" t="str">
        <x:v>High</x:v>
      </x:c>
      <x:c r="L195" s="157" t="n">
        <x:v>3</x:v>
      </x:c>
      <x:c r="M195" s="157" t="str">
        <x:v>Manual Review</x:v>
      </x:c>
      <x:c r="N195" s="166" t="n">
        <x:v>1500931.13</x:v>
      </x:c>
      <x:c r="O195" s="157" t="n">
        <x:v>0</x:v>
      </x:c>
      <x:c r="P195" s="157" t="str">
        <x:v>test</x:v>
      </x:c>
    </x:row>
    <x:row r="196">
      <x:c r="A196" s="157" t="str">
        <x:v>L030908</x:v>
      </x:c>
      <x:c r="B196" s="165" t="n">
        <x:v>44866</x:v>
      </x:c>
      <x:c r="C196" s="157" t="str">
        <x:v>Industrials</x:v>
      </x:c>
      <x:c r="D196" s="157" t="str">
        <x:v>mortgage</x:v>
      </x:c>
      <x:c r="E196" s="157" t="str">
        <x:v>secured</x:v>
      </x:c>
      <x:c r="F196" s="157" t="str">
        <x:v>B</x:v>
      </x:c>
      <x:c r="G196" s="157" t="n">
        <x:v>656</x:v>
      </x:c>
      <x:c r="H196" s="166" t="n">
        <x:v>10392687.42</x:v>
      </x:c>
      <x:c r="I196" s="162" t="n">
        <x:v>0.6449</x:v>
      </x:c>
      <x:c r="J196" s="162" t="n">
        <x:v>0.21964</x:v>
      </x:c>
      <x:c r="K196" s="157" t="str">
        <x:v>High</x:v>
      </x:c>
      <x:c r="L196" s="157" t="n">
        <x:v>2</x:v>
      </x:c>
      <x:c r="M196" s="157" t="str">
        <x:v>Manual Review</x:v>
      </x:c>
      <x:c r="N196" s="166" t="n">
        <x:v>1472080.9</x:v>
      </x:c>
      <x:c r="O196" s="157" t="n">
        <x:v>1</x:v>
      </x:c>
      <x:c r="P196" s="157" t="str">
        <x:v>test</x:v>
      </x:c>
    </x:row>
    <x:row r="197">
      <x:c r="A197" s="157" t="str">
        <x:v>L030494</x:v>
      </x:c>
      <x:c r="B197" s="165" t="n">
        <x:v>44927</x:v>
      </x:c>
      <x:c r="C197" s="157" t="str">
        <x:v>Industrials</x:v>
      </x:c>
      <x:c r="D197" s="157" t="str">
        <x:v>term_loan</x:v>
      </x:c>
      <x:c r="E197" s="157" t="str">
        <x:v>secured</x:v>
      </x:c>
      <x:c r="F197" s="157" t="str">
        <x:v>CCC</x:v>
      </x:c>
      <x:c r="G197" s="157" t="n">
        <x:v>646</x:v>
      </x:c>
      <x:c r="H197" s="166" t="n">
        <x:v>6902670.92</x:v>
      </x:c>
      <x:c r="I197" s="162" t="n">
        <x:v>0.4803</x:v>
      </x:c>
      <x:c r="J197" s="162" t="n">
        <x:v>0.439299</x:v>
      </x:c>
      <x:c r="K197" s="157" t="str">
        <x:v>Very High</x:v>
      </x:c>
      <x:c r="L197" s="157" t="n">
        <x:v>1</x:v>
      </x:c>
      <x:c r="M197" s="157" t="str">
        <x:v>Manual Review</x:v>
      </x:c>
      <x:c r="N197" s="166" t="n">
        <x:v>1456431.19</x:v>
      </x:c>
      <x:c r="O197" s="157" t="n">
        <x:v>1</x:v>
      </x:c>
      <x:c r="P197" s="157" t="str">
        <x:v>test</x:v>
      </x:c>
    </x:row>
    <x:row r="198">
      <x:c r="A198" s="157" t="str">
        <x:v>L039620</x:v>
      </x:c>
      <x:c r="B198" s="165" t="n">
        <x:v>44958</x:v>
      </x:c>
      <x:c r="C198" s="157" t="str">
        <x:v>Energy</x:v>
      </x:c>
      <x:c r="D198" s="157" t="str">
        <x:v>term_loan</x:v>
      </x:c>
      <x:c r="E198" s="157" t="str">
        <x:v>unsecured</x:v>
      </x:c>
      <x:c r="F198" s="157" t="str">
        <x:v>CCC</x:v>
      </x:c>
      <x:c r="G198" s="157" t="n">
        <x:v>632</x:v>
      </x:c>
      <x:c r="H198" s="166" t="n">
        <x:v>6751660.79</x:v>
      </x:c>
      <x:c r="I198" s="162" t="n">
        <x:v>0.6113</x:v>
      </x:c>
      <x:c r="J198" s="162" t="n">
        <x:v>0.352876</x:v>
      </x:c>
      <x:c r="K198" s="157" t="str">
        <x:v>Very High</x:v>
      </x:c>
      <x:c r="L198" s="157" t="n">
        <x:v>1</x:v>
      </x:c>
      <x:c r="M198" s="157" t="str">
        <x:v>Manual Review</x:v>
      </x:c>
      <x:c r="N198" s="166" t="n">
        <x:v>1456421.67</x:v>
      </x:c>
      <x:c r="O198" s="157" t="n">
        <x:v>1</x:v>
      </x:c>
      <x:c r="P198" s="157" t="str">
        <x:v>test</x:v>
      </x:c>
    </x:row>
    <x:row r="199">
      <x:c r="A199" s="157" t="str">
        <x:v>L001927</x:v>
      </x:c>
      <x:c r="B199" s="165" t="n">
        <x:v>45047</x:v>
      </x:c>
      <x:c r="C199" s="157" t="str">
        <x:v>Financials</x:v>
      </x:c>
      <x:c r="D199" s="157" t="str">
        <x:v>term_loan</x:v>
      </x:c>
      <x:c r="E199" s="157" t="str">
        <x:v>unsecured</x:v>
      </x:c>
      <x:c r="F199" s="157" t="str">
        <x:v>CCC</x:v>
      </x:c>
      <x:c r="G199" s="157" t="n">
        <x:v>604</x:v>
      </x:c>
      <x:c r="H199" s="166" t="n">
        <x:v>7579324.81</x:v>
      </x:c>
      <x:c r="I199" s="162" t="n">
        <x:v>0.5109</x:v>
      </x:c>
      <x:c r="J199" s="162" t="n">
        <x:v>0.375547</x:v>
      </x:c>
      <x:c r="K199" s="157" t="str">
        <x:v>Very High</x:v>
      </x:c>
      <x:c r="L199" s="157" t="n">
        <x:v>1</x:v>
      </x:c>
      <x:c r="M199" s="157" t="str">
        <x:v>Manual Review</x:v>
      </x:c>
      <x:c r="N199" s="166" t="n">
        <x:v>1454222.03</x:v>
      </x:c>
      <x:c r="O199" s="157" t="n">
        <x:v>1</x:v>
      </x:c>
      <x:c r="P199" s="157" t="str">
        <x:v>test</x:v>
      </x:c>
    </x:row>
    <x:row r="200">
      <x:c r="A200" s="157" t="str">
        <x:v>L039604</x:v>
      </x:c>
      <x:c r="B200" s="165" t="n">
        <x:v>44986</x:v>
      </x:c>
      <x:c r="C200" s="157" t="str">
        <x:v>Healthcare</x:v>
      </x:c>
      <x:c r="D200" s="157" t="str">
        <x:v>term_loan</x:v>
      </x:c>
      <x:c r="E200" s="157" t="str">
        <x:v>unsecured</x:v>
      </x:c>
      <x:c r="F200" s="157" t="str">
        <x:v>B</x:v>
      </x:c>
      <x:c r="G200" s="157" t="n">
        <x:v>660</x:v>
      </x:c>
      <x:c r="H200" s="166" t="n">
        <x:v>9773542.99</x:v>
      </x:c>
      <x:c r="I200" s="162" t="n">
        <x:v>0.5983</x:v>
      </x:c>
      <x:c r="J200" s="162" t="n">
        <x:v>0.247704</x:v>
      </x:c>
      <x:c r="K200" s="157" t="str">
        <x:v>High</x:v>
      </x:c>
      <x:c r="L200" s="157" t="n">
        <x:v>2</x:v>
      </x:c>
      <x:c r="M200" s="157" t="str">
        <x:v>Manual Review</x:v>
      </x:c>
      <x:c r="N200" s="166" t="n">
        <x:v>1448451.81</x:v>
      </x:c>
      <x:c r="O200" s="157" t="n">
        <x:v>0</x:v>
      </x:c>
      <x:c r="P200" s="157" t="str">
        <x:v>test</x:v>
      </x:c>
    </x:row>
    <x:row r="201">
      <x:c r="A201" s="157" t="str">
        <x:v>L047533</x:v>
      </x:c>
      <x:c r="B201" s="165" t="n">
        <x:v>45231</x:v>
      </x:c>
      <x:c r="C201" s="157" t="str">
        <x:v>Financials</x:v>
      </x:c>
      <x:c r="D201" s="157" t="str">
        <x:v>revolving</x:v>
      </x:c>
      <x:c r="E201" s="157" t="str">
        <x:v>unsecured</x:v>
      </x:c>
      <x:c r="F201" s="157" t="str">
        <x:v>BB</x:v>
      </x:c>
      <x:c r="G201" s="157" t="n">
        <x:v>697</x:v>
      </x:c>
      <x:c r="H201" s="166" t="n">
        <x:v>10546050.03</x:v>
      </x:c>
      <x:c r="I201" s="162" t="n">
        <x:v>0.6704</x:v>
      </x:c>
      <x:c r="J201" s="162" t="n">
        <x:v>0.203136</x:v>
      </x:c>
      <x:c r="K201" s="157" t="str">
        <x:v>High</x:v>
      </x:c>
      <x:c r="L201" s="157" t="n">
        <x:v>3</x:v>
      </x:c>
      <x:c r="M201" s="157" t="str">
        <x:v>Manual Review</x:v>
      </x:c>
      <x:c r="N201" s="166" t="n">
        <x:v>1436186.13</x:v>
      </x:c>
      <x:c r="O201" s="157" t="n">
        <x:v>0</x:v>
      </x:c>
      <x:c r="P201" s="157" t="str">
        <x:v>test</x:v>
      </x:c>
    </x:row>
    <x:row r="202">
      <x:c r="A202" s="157" t="str">
        <x:v>L030722</x:v>
      </x:c>
      <x:c r="B202" s="165" t="n">
        <x:v>44743</x:v>
      </x:c>
      <x:c r="C202" s="157" t="str">
        <x:v>Energy</x:v>
      </x:c>
      <x:c r="D202" s="157" t="str">
        <x:v>mortgage</x:v>
      </x:c>
      <x:c r="E202" s="157" t="str">
        <x:v>unsecured</x:v>
      </x:c>
      <x:c r="F202" s="157" t="str">
        <x:v>CCC</x:v>
      </x:c>
      <x:c r="G202" s="157" t="n">
        <x:v>678</x:v>
      </x:c>
      <x:c r="H202" s="166" t="n">
        <x:v>4137699.75</x:v>
      </x:c>
      <x:c r="I202" s="162" t="n">
        <x:v>0.7553</x:v>
      </x:c>
      <x:c r="J202" s="162" t="n">
        <x:v>0.457901</x:v>
      </x:c>
      <x:c r="K202" s="157" t="str">
        <x:v>Very High</x:v>
      </x:c>
      <x:c r="L202" s="157" t="n">
        <x:v>1</x:v>
      </x:c>
      <x:c r="M202" s="157" t="str">
        <x:v>Manual Review</x:v>
      </x:c>
      <x:c r="N202" s="166" t="n">
        <x:v>1431034.32</x:v>
      </x:c>
      <x:c r="O202" s="157" t="n">
        <x:v>1</x:v>
      </x:c>
      <x:c r="P202" s="157" t="str">
        <x:v>test</x:v>
      </x:c>
    </x:row>
    <x:row r="203">
      <x:c r="A203" s="157" t="str">
        <x:v>L047585</x:v>
      </x:c>
      <x:c r="B203" s="165" t="n">
        <x:v>44896</x:v>
      </x:c>
      <x:c r="C203" s="157" t="str">
        <x:v>Utilities</x:v>
      </x:c>
      <x:c r="D203" s="157" t="str">
        <x:v>mortgage</x:v>
      </x:c>
      <x:c r="E203" s="157" t="str">
        <x:v>partially_secured</x:v>
      </x:c>
      <x:c r="F203" s="157" t="str">
        <x:v>CCC</x:v>
      </x:c>
      <x:c r="G203" s="157" t="n">
        <x:v>700</x:v>
      </x:c>
      <x:c r="H203" s="166" t="n">
        <x:v>9273313.08</x:v>
      </x:c>
      <x:c r="I203" s="162" t="n">
        <x:v>0.4564</x:v>
      </x:c>
      <x:c r="J203" s="162" t="n">
        <x:v>0.335526</x:v>
      </x:c>
      <x:c r="K203" s="157" t="str">
        <x:v>Very High</x:v>
      </x:c>
      <x:c r="L203" s="157" t="n">
        <x:v>1</x:v>
      </x:c>
      <x:c r="M203" s="157" t="str">
        <x:v>Manual Review</x:v>
      </x:c>
      <x:c r="N203" s="166" t="n">
        <x:v>1420060.14</x:v>
      </x:c>
      <x:c r="O203" s="157" t="n">
        <x:v>1</x:v>
      </x:c>
      <x:c r="P203" s="157" t="str">
        <x:v>test</x:v>
      </x:c>
    </x:row>
    <x:row r="204">
      <x:c r="A204" s="157" t="str">
        <x:v>L041249</x:v>
      </x:c>
      <x:c r="B204" s="165" t="n">
        <x:v>45139</x:v>
      </x:c>
      <x:c r="C204" s="157" t="str">
        <x:v>Real_Estate</x:v>
      </x:c>
      <x:c r="D204" s="157" t="str">
        <x:v>revolving</x:v>
      </x:c>
      <x:c r="E204" s="157" t="str">
        <x:v>secured</x:v>
      </x:c>
      <x:c r="F204" s="157" t="str">
        <x:v>CCC</x:v>
      </x:c>
      <x:c r="G204" s="157" t="n">
        <x:v>616</x:v>
      </x:c>
      <x:c r="H204" s="166" t="n">
        <x:v>9073233.08</x:v>
      </x:c>
      <x:c r="I204" s="162" t="n">
        <x:v>0.3486</x:v>
      </x:c>
      <x:c r="J204" s="162" t="n">
        <x:v>0.448855</x:v>
      </x:c>
      <x:c r="K204" s="157" t="str">
        <x:v>Very High</x:v>
      </x:c>
      <x:c r="L204" s="157" t="n">
        <x:v>1</x:v>
      </x:c>
      <x:c r="M204" s="157" t="str">
        <x:v>Manual Review</x:v>
      </x:c>
      <x:c r="N204" s="166" t="n">
        <x:v>1419696.52</x:v>
      </x:c>
      <x:c r="O204" s="157" t="n">
        <x:v>1</x:v>
      </x:c>
      <x:c r="P204" s="157" t="str">
        <x:v>test</x:v>
      </x:c>
    </x:row>
    <x:row r="205">
      <x:c r="A205" s="157" t="str">
        <x:v>L001216</x:v>
      </x:c>
      <x:c r="B205" s="165" t="n">
        <x:v>44682</x:v>
      </x:c>
      <x:c r="C205" s="157" t="str">
        <x:v>Financials</x:v>
      </x:c>
      <x:c r="D205" s="157" t="str">
        <x:v>term_loan</x:v>
      </x:c>
      <x:c r="E205" s="157" t="str">
        <x:v>unsecured</x:v>
      </x:c>
      <x:c r="F205" s="157" t="str">
        <x:v>A</x:v>
      </x:c>
      <x:c r="G205" s="157" t="n">
        <x:v>775</x:v>
      </x:c>
      <x:c r="H205" s="166" t="n">
        <x:v>14304801.85</x:v>
      </x:c>
      <x:c r="I205" s="162" t="n">
        <x:v>0.5657</x:v>
      </x:c>
      <x:c r="J205" s="162" t="n">
        <x:v>0.174858</x:v>
      </x:c>
      <x:c r="K205" s="157" t="str">
        <x:v>High</x:v>
      </x:c>
      <x:c r="L205" s="157" t="n">
        <x:v>4</x:v>
      </x:c>
      <x:c r="M205" s="157" t="str">
        <x:v>Manual Review</x:v>
      </x:c>
      <x:c r="N205" s="166" t="n">
        <x:v>1414990.52</x:v>
      </x:c>
      <x:c r="O205" s="157" t="n">
        <x:v>0</x:v>
      </x:c>
      <x:c r="P205" s="157" t="str">
        <x:v>test</x:v>
      </x:c>
    </x:row>
    <x:row r="206">
      <x:c r="A206" s="157" t="str">
        <x:v>L035635</x:v>
      </x:c>
      <x:c r="B206" s="165" t="n">
        <x:v>45078</x:v>
      </x:c>
      <x:c r="C206" s="157" t="str">
        <x:v>Real_Estate</x:v>
      </x:c>
      <x:c r="D206" s="157" t="str">
        <x:v>bond</x:v>
      </x:c>
      <x:c r="E206" s="157" t="str">
        <x:v>unsecured</x:v>
      </x:c>
      <x:c r="F206" s="157" t="str">
        <x:v>CCC</x:v>
      </x:c>
      <x:c r="G206" s="157" t="n">
        <x:v>680</x:v>
      </x:c>
      <x:c r="H206" s="166" t="n">
        <x:v>6101436.25</x:v>
      </x:c>
      <x:c r="I206" s="162" t="n">
        <x:v>0.5528</x:v>
      </x:c>
      <x:c r="J206" s="162" t="n">
        <x:v>0.416857</x:v>
      </x:c>
      <x:c r="K206" s="157" t="str">
        <x:v>Very High</x:v>
      </x:c>
      <x:c r="L206" s="157" t="n">
        <x:v>1</x:v>
      </x:c>
      <x:c r="M206" s="157" t="str">
        <x:v>Manual Review</x:v>
      </x:c>
      <x:c r="N206" s="166" t="n">
        <x:v>1406006.12</x:v>
      </x:c>
      <x:c r="O206" s="157" t="n">
        <x:v>0</x:v>
      </x:c>
      <x:c r="P206" s="157" t="str">
        <x:v>test</x:v>
      </x:c>
    </x:row>
    <x:row r="207">
      <x:c r="A207" s="157" t="str">
        <x:v>L002414</x:v>
      </x:c>
      <x:c r="B207" s="165" t="n">
        <x:v>44927</x:v>
      </x:c>
      <x:c r="C207" s="157" t="str">
        <x:v>Financials</x:v>
      </x:c>
      <x:c r="D207" s="157" t="str">
        <x:v>mortgage</x:v>
      </x:c>
      <x:c r="E207" s="157" t="str">
        <x:v>unsecured</x:v>
      </x:c>
      <x:c r="F207" s="157" t="str">
        <x:v>CCC</x:v>
      </x:c>
      <x:c r="G207" s="157" t="n">
        <x:v>637</x:v>
      </x:c>
      <x:c r="H207" s="166" t="n">
        <x:v>5127110.3</x:v>
      </x:c>
      <x:c r="I207" s="162" t="n">
        <x:v>0.7306</x:v>
      </x:c>
      <x:c r="J207" s="162" t="n">
        <x:v>0.374066</x:v>
      </x:c>
      <x:c r="K207" s="157" t="str">
        <x:v>Very High</x:v>
      </x:c>
      <x:c r="L207" s="157" t="n">
        <x:v>1</x:v>
      </x:c>
      <x:c r="M207" s="157" t="str">
        <x:v>Manual Review</x:v>
      </x:c>
      <x:c r="N207" s="166" t="n">
        <x:v>1401201.4</x:v>
      </x:c>
      <x:c r="O207" s="157" t="n">
        <x:v>1</x:v>
      </x:c>
      <x:c r="P207" s="157" t="str">
        <x:v>test</x:v>
      </x:c>
    </x:row>
    <x:row r="208">
      <x:c r="A208" s="157" t="str">
        <x:v>L034273</x:v>
      </x:c>
      <x:c r="B208" s="165" t="n">
        <x:v>44958</x:v>
      </x:c>
      <x:c r="C208" s="157" t="str">
        <x:v>Telecom</x:v>
      </x:c>
      <x:c r="D208" s="157" t="str">
        <x:v>term_loan</x:v>
      </x:c>
      <x:c r="E208" s="157" t="str">
        <x:v>secured</x:v>
      </x:c>
      <x:c r="F208" s="157" t="str">
        <x:v>B</x:v>
      </x:c>
      <x:c r="G208" s="157" t="n">
        <x:v>723</x:v>
      </x:c>
      <x:c r="H208" s="166" t="n">
        <x:v>11302111.18</x:v>
      </x:c>
      <x:c r="I208" s="162" t="n">
        <x:v>0.4985</x:v>
      </x:c>
      <x:c r="J208" s="162" t="n">
        <x:v>0.248455</x:v>
      </x:c>
      <x:c r="K208" s="157" t="str">
        <x:v>High</x:v>
      </x:c>
      <x:c r="L208" s="157" t="n">
        <x:v>2</x:v>
      </x:c>
      <x:c r="M208" s="157" t="str">
        <x:v>Manual Review</x:v>
      </x:c>
      <x:c r="N208" s="166" t="n">
        <x:v>1399820.92</x:v>
      </x:c>
      <x:c r="O208" s="157" t="n">
        <x:v>0</x:v>
      </x:c>
      <x:c r="P208" s="157" t="str">
        <x:v>test</x:v>
      </x:c>
    </x:row>
    <x:row r="209">
      <x:c r="A209" s="157" t="str">
        <x:v>L035666</x:v>
      </x:c>
      <x:c r="B209" s="165" t="n">
        <x:v>44743</x:v>
      </x:c>
      <x:c r="C209" s="157" t="str">
        <x:v>Financials</x:v>
      </x:c>
      <x:c r="D209" s="157" t="str">
        <x:v>revolving</x:v>
      </x:c>
      <x:c r="E209" s="157" t="str">
        <x:v>unsecured</x:v>
      </x:c>
      <x:c r="F209" s="157" t="str">
        <x:v>B</x:v>
      </x:c>
      <x:c r="G209" s="157" t="n">
        <x:v>669</x:v>
      </x:c>
      <x:c r="H209" s="166" t="n">
        <x:v>11516847.01</x:v>
      </x:c>
      <x:c r="I209" s="162" t="n">
        <x:v>0.6893</x:v>
      </x:c>
      <x:c r="J209" s="162" t="n">
        <x:v>0.17618</x:v>
      </x:c>
      <x:c r="K209" s="157" t="str">
        <x:v>High</x:v>
      </x:c>
      <x:c r="L209" s="157" t="n">
        <x:v>4</x:v>
      </x:c>
      <x:c r="M209" s="157" t="str">
        <x:v>Manual Review</x:v>
      </x:c>
      <x:c r="N209" s="166" t="n">
        <x:v>1398615.97</x:v>
      </x:c>
      <x:c r="O209" s="157" t="n">
        <x:v>0</x:v>
      </x:c>
      <x:c r="P209" s="157" t="str">
        <x:v>test</x:v>
      </x:c>
    </x:row>
    <x:row r="210">
      <x:c r="A210" s="157" t="str">
        <x:v>L017362</x:v>
      </x:c>
      <x:c r="B210" s="165" t="n">
        <x:v>44743</x:v>
      </x:c>
      <x:c r="C210" s="157" t="str">
        <x:v>Healthcare</x:v>
      </x:c>
      <x:c r="D210" s="157" t="str">
        <x:v>term_loan</x:v>
      </x:c>
      <x:c r="E210" s="157" t="str">
        <x:v>unsecured</x:v>
      </x:c>
      <x:c r="F210" s="157" t="str">
        <x:v>B</x:v>
      </x:c>
      <x:c r="G210" s="157" t="n">
        <x:v>648</x:v>
      </x:c>
      <x:c r="H210" s="166" t="n">
        <x:v>7131006.58</x:v>
      </x:c>
      <x:c r="I210" s="162" t="n">
        <x:v>0.6799</x:v>
      </x:c>
      <x:c r="J210" s="162" t="n">
        <x:v>0.288428</x:v>
      </x:c>
      <x:c r="K210" s="157" t="str">
        <x:v>High</x:v>
      </x:c>
      <x:c r="L210" s="157" t="n">
        <x:v>1</x:v>
      </x:c>
      <x:c r="M210" s="157" t="str">
        <x:v>Manual Review</x:v>
      </x:c>
      <x:c r="N210" s="166" t="n">
        <x:v>1398406.06</x:v>
      </x:c>
      <x:c r="O210" s="157" t="n">
        <x:v>0</x:v>
      </x:c>
      <x:c r="P210" s="157" t="str">
        <x:v>test</x:v>
      </x:c>
    </x:row>
    <x:row r="211">
      <x:c r="A211" s="157" t="str">
        <x:v>L020470</x:v>
      </x:c>
      <x:c r="B211" s="165" t="n">
        <x:v>45108</x:v>
      </x:c>
      <x:c r="C211" s="157" t="str">
        <x:v>Industrials</x:v>
      </x:c>
      <x:c r="D211" s="157" t="str">
        <x:v>bond</x:v>
      </x:c>
      <x:c r="E211" s="157" t="str">
        <x:v>secured</x:v>
      </x:c>
      <x:c r="F211" s="157" t="str">
        <x:v>B</x:v>
      </x:c>
      <x:c r="G211" s="157" t="n">
        <x:v>706</x:v>
      </x:c>
      <x:c r="H211" s="166" t="n">
        <x:v>8537753.2</x:v>
      </x:c>
      <x:c r="I211" s="162" t="n">
        <x:v>0.6569</x:v>
      </x:c>
      <x:c r="J211" s="162" t="n">
        <x:v>0.247968</x:v>
      </x:c>
      <x:c r="K211" s="157" t="str">
        <x:v>High</x:v>
      </x:c>
      <x:c r="L211" s="157" t="n">
        <x:v>2</x:v>
      </x:c>
      <x:c r="M211" s="157" t="str">
        <x:v>Manual Review</x:v>
      </x:c>
      <x:c r="N211" s="166" t="n">
        <x:v>1390716.15</x:v>
      </x:c>
      <x:c r="O211" s="157" t="n">
        <x:v>0</x:v>
      </x:c>
      <x:c r="P211" s="157" t="str">
        <x:v>test</x:v>
      </x:c>
    </x:row>
    <x:row r="212">
      <x:c r="A212" s="157" t="str">
        <x:v>L026972</x:v>
      </x:c>
      <x:c r="B212" s="165" t="n">
        <x:v>44835</x:v>
      </x:c>
      <x:c r="C212" s="157" t="str">
        <x:v>Financials</x:v>
      </x:c>
      <x:c r="D212" s="157" t="str">
        <x:v>revolving</x:v>
      </x:c>
      <x:c r="E212" s="157" t="str">
        <x:v>secured</x:v>
      </x:c>
      <x:c r="F212" s="157" t="str">
        <x:v>B</x:v>
      </x:c>
      <x:c r="G212" s="157" t="n">
        <x:v>732</x:v>
      </x:c>
      <x:c r="H212" s="166" t="n">
        <x:v>10164803.26</x:v>
      </x:c>
      <x:c r="I212" s="162" t="n">
        <x:v>0.5766</x:v>
      </x:c>
      <x:c r="J212" s="162" t="n">
        <x:v>0.236653</x:v>
      </x:c>
      <x:c r="K212" s="157" t="str">
        <x:v>High</x:v>
      </x:c>
      <x:c r="L212" s="157" t="n">
        <x:v>2</x:v>
      </x:c>
      <x:c r="M212" s="157" t="str">
        <x:v>Manual Review</x:v>
      </x:c>
      <x:c r="N212" s="166" t="n">
        <x:v>1387029.28</x:v>
      </x:c>
      <x:c r="O212" s="157" t="n">
        <x:v>0</x:v>
      </x:c>
      <x:c r="P212" s="157" t="str">
        <x:v>test</x:v>
      </x:c>
    </x:row>
    <x:row r="213">
      <x:c r="A213" s="157" t="str">
        <x:v>L021580</x:v>
      </x:c>
      <x:c r="B213" s="165" t="n">
        <x:v>45047</x:v>
      </x:c>
      <x:c r="C213" s="157" t="str">
        <x:v>Energy</x:v>
      </x:c>
      <x:c r="D213" s="157" t="str">
        <x:v>bond</x:v>
      </x:c>
      <x:c r="E213" s="157" t="str">
        <x:v>partially_secured</x:v>
      </x:c>
      <x:c r="F213" s="157" t="str">
        <x:v>BB</x:v>
      </x:c>
      <x:c r="G213" s="157" t="n">
        <x:v>694</x:v>
      </x:c>
      <x:c r="H213" s="166" t="n">
        <x:v>14332467.59</x:v>
      </x:c>
      <x:c r="I213" s="162" t="n">
        <x:v>0.5188</x:v>
      </x:c>
      <x:c r="J213" s="162" t="n">
        <x:v>0.186084</x:v>
      </x:c>
      <x:c r="K213" s="157" t="str">
        <x:v>High</x:v>
      </x:c>
      <x:c r="L213" s="157" t="n">
        <x:v>3</x:v>
      </x:c>
      <x:c r="M213" s="157" t="str">
        <x:v>Manual Review</x:v>
      </x:c>
      <x:c r="N213" s="166" t="n">
        <x:v>1383661.86</x:v>
      </x:c>
      <x:c r="O213" s="157" t="n">
        <x:v>0</x:v>
      </x:c>
      <x:c r="P213" s="157" t="str">
        <x:v>test</x:v>
      </x:c>
    </x:row>
    <x:row r="214">
      <x:c r="A214" s="157" t="str">
        <x:v>L015025</x:v>
      </x:c>
      <x:c r="B214" s="165" t="n">
        <x:v>44593</x:v>
      </x:c>
      <x:c r="C214" s="157" t="str">
        <x:v>Financials</x:v>
      </x:c>
      <x:c r="D214" s="157" t="str">
        <x:v>bond</x:v>
      </x:c>
      <x:c r="E214" s="157" t="str">
        <x:v>partially_secured</x:v>
      </x:c>
      <x:c r="F214" s="157" t="str">
        <x:v>B</x:v>
      </x:c>
      <x:c r="G214" s="157" t="n">
        <x:v>663</x:v>
      </x:c>
      <x:c r="H214" s="166" t="n">
        <x:v>9794545.15</x:v>
      </x:c>
      <x:c r="I214" s="162" t="n">
        <x:v>0.5826</x:v>
      </x:c>
      <x:c r="J214" s="162" t="n">
        <x:v>0.242423</x:v>
      </x:c>
      <x:c r="K214" s="157" t="str">
        <x:v>High</x:v>
      </x:c>
      <x:c r="L214" s="157" t="n">
        <x:v>2</x:v>
      </x:c>
      <x:c r="M214" s="157" t="str">
        <x:v>Manual Review</x:v>
      </x:c>
      <x:c r="N214" s="166" t="n">
        <x:v>1383338.85</x:v>
      </x:c>
      <x:c r="O214" s="157" t="n">
        <x:v>0</x:v>
      </x:c>
      <x:c r="P214" s="157" t="str">
        <x:v>test</x:v>
      </x:c>
    </x:row>
    <x:row r="215">
      <x:c r="A215" s="157" t="str">
        <x:v>L042403</x:v>
      </x:c>
      <x:c r="B215" s="165" t="n">
        <x:v>45078</x:v>
      </x:c>
      <x:c r="C215" s="157" t="str">
        <x:v>Industrials</x:v>
      </x:c>
      <x:c r="D215" s="157" t="str">
        <x:v>mortgage</x:v>
      </x:c>
      <x:c r="E215" s="157" t="str">
        <x:v>unsecured</x:v>
      </x:c>
      <x:c r="F215" s="157" t="str">
        <x:v>B</x:v>
      </x:c>
      <x:c r="G215" s="157" t="n">
        <x:v>683</x:v>
      </x:c>
      <x:c r="H215" s="166" t="n">
        <x:v>10840980.04</x:v>
      </x:c>
      <x:c r="I215" s="162" t="n">
        <x:v>0.728</x:v>
      </x:c>
      <x:c r="J215" s="162" t="n">
        <x:v>0.174204</x:v>
      </x:c>
      <x:c r="K215" s="157" t="str">
        <x:v>High</x:v>
      </x:c>
      <x:c r="L215" s="157" t="n">
        <x:v>4</x:v>
      </x:c>
      <x:c r="M215" s="157" t="str">
        <x:v>Manual Review</x:v>
      </x:c>
      <x:c r="N215" s="166" t="n">
        <x:v>1374858.64</x:v>
      </x:c>
      <x:c r="O215" s="157" t="n">
        <x:v>1</x:v>
      </x:c>
      <x:c r="P215" s="157" t="str">
        <x:v>test</x:v>
      </x:c>
    </x:row>
    <x:row r="216">
      <x:c r="A216" s="157" t="str">
        <x:v>L023361</x:v>
      </x:c>
      <x:c r="B216" s="165" t="n">
        <x:v>45078</x:v>
      </x:c>
      <x:c r="C216" s="157" t="str">
        <x:v>Telecom</x:v>
      </x:c>
      <x:c r="D216" s="157" t="str">
        <x:v>mortgage</x:v>
      </x:c>
      <x:c r="E216" s="157" t="str">
        <x:v>unsecured</x:v>
      </x:c>
      <x:c r="F216" s="157" t="str">
        <x:v>CCC</x:v>
      </x:c>
      <x:c r="G216" s="157" t="n">
        <x:v>650</x:v>
      </x:c>
      <x:c r="H216" s="166" t="n">
        <x:v>4416321.24</x:v>
      </x:c>
      <x:c r="I216" s="162" t="n">
        <x:v>0.7442</x:v>
      </x:c>
      <x:c r="J216" s="162" t="n">
        <x:v>0.416739</x:v>
      </x:c>
      <x:c r="K216" s="157" t="str">
        <x:v>Very High</x:v>
      </x:c>
      <x:c r="L216" s="157" t="n">
        <x:v>1</x:v>
      </x:c>
      <x:c r="M216" s="157" t="str">
        <x:v>Manual Review</x:v>
      </x:c>
      <x:c r="N216" s="166" t="n">
        <x:v>1369665.34</x:v>
      </x:c>
      <x:c r="O216" s="157" t="n">
        <x:v>0</x:v>
      </x:c>
      <x:c r="P216" s="157" t="str">
        <x:v>test</x:v>
      </x:c>
    </x:row>
    <x:row r="217">
      <x:c r="A217" s="157" t="str">
        <x:v>L007137</x:v>
      </x:c>
      <x:c r="B217" s="165" t="n">
        <x:v>44682</x:v>
      </x:c>
      <x:c r="C217" s="157" t="str">
        <x:v>Utilities</x:v>
      </x:c>
      <x:c r="D217" s="157" t="str">
        <x:v>mortgage</x:v>
      </x:c>
      <x:c r="E217" s="157" t="str">
        <x:v>unsecured</x:v>
      </x:c>
      <x:c r="F217" s="157" t="str">
        <x:v>B</x:v>
      </x:c>
      <x:c r="G217" s="157" t="n">
        <x:v>734</x:v>
      </x:c>
      <x:c r="H217" s="166" t="n">
        <x:v>11300288.26</x:v>
      </x:c>
      <x:c r="I217" s="162" t="n">
        <x:v>0.5197</x:v>
      </x:c>
      <x:c r="J217" s="162" t="n">
        <x:v>0.232314</x:v>
      </x:c>
      <x:c r="K217" s="157" t="str">
        <x:v>High</x:v>
      </x:c>
      <x:c r="L217" s="157" t="n">
        <x:v>2</x:v>
      </x:c>
      <x:c r="M217" s="157" t="str">
        <x:v>Manual Review</x:v>
      </x:c>
      <x:c r="N217" s="166" t="n">
        <x:v>1364324.32</x:v>
      </x:c>
      <x:c r="O217" s="157" t="n">
        <x:v>0</x:v>
      </x:c>
      <x:c r="P217" s="157" t="str">
        <x:v>test</x:v>
      </x:c>
    </x:row>
    <x:row r="218">
      <x:c r="A218" s="157" t="str">
        <x:v>L044624</x:v>
      </x:c>
      <x:c r="B218" s="165" t="n">
        <x:v>44866</x:v>
      </x:c>
      <x:c r="C218" s="157" t="str">
        <x:v>Financials</x:v>
      </x:c>
      <x:c r="D218" s="157" t="str">
        <x:v>revolving</x:v>
      </x:c>
      <x:c r="E218" s="157" t="str">
        <x:v>secured</x:v>
      </x:c>
      <x:c r="F218" s="157" t="str">
        <x:v>B</x:v>
      </x:c>
      <x:c r="G218" s="157" t="n">
        <x:v>684</x:v>
      </x:c>
      <x:c r="H218" s="166" t="n">
        <x:v>10685458.84</x:v>
      </x:c>
      <x:c r="I218" s="162" t="n">
        <x:v>0.5513</x:v>
      </x:c>
      <x:c r="J218" s="162" t="n">
        <x:v>0.231167</x:v>
      </x:c>
      <x:c r="K218" s="157" t="str">
        <x:v>High</x:v>
      </x:c>
      <x:c r="L218" s="157" t="n">
        <x:v>2</x:v>
      </x:c>
      <x:c r="M218" s="157" t="str">
        <x:v>Manual Review</x:v>
      </x:c>
      <x:c r="N218" s="166" t="n">
        <x:v>1361780.17</x:v>
      </x:c>
      <x:c r="O218" s="157" t="n">
        <x:v>0</x:v>
      </x:c>
      <x:c r="P218" s="157" t="str">
        <x:v>test</x:v>
      </x:c>
    </x:row>
    <x:row r="219">
      <x:c r="A219" s="157" t="str">
        <x:v>L024408</x:v>
      </x:c>
      <x:c r="B219" s="165" t="n">
        <x:v>45200</x:v>
      </x:c>
      <x:c r="C219" s="157" t="str">
        <x:v>Real_Estate</x:v>
      </x:c>
      <x:c r="D219" s="157" t="str">
        <x:v>revolving</x:v>
      </x:c>
      <x:c r="E219" s="157" t="str">
        <x:v>secured</x:v>
      </x:c>
      <x:c r="F219" s="157" t="str">
        <x:v>BB</x:v>
      </x:c>
      <x:c r="G219" s="157" t="n">
        <x:v>688</x:v>
      </x:c>
      <x:c r="H219" s="166" t="n">
        <x:v>15935515.89</x:v>
      </x:c>
      <x:c r="I219" s="162" t="n">
        <x:v>0.4322</x:v>
      </x:c>
      <x:c r="J219" s="162" t="n">
        <x:v>0.197585</x:v>
      </x:c>
      <x:c r="K219" s="157" t="str">
        <x:v>High</x:v>
      </x:c>
      <x:c r="L219" s="157" t="n">
        <x:v>3</x:v>
      </x:c>
      <x:c r="M219" s="157" t="str">
        <x:v>Manual Review</x:v>
      </x:c>
      <x:c r="N219" s="166" t="n">
        <x:v>1360833.09</x:v>
      </x:c>
      <x:c r="O219" s="157" t="n">
        <x:v>0</x:v>
      </x:c>
      <x:c r="P219" s="157" t="str">
        <x:v>test</x:v>
      </x:c>
    </x:row>
    <x:row r="220">
      <x:c r="A220" s="157" t="str">
        <x:v>L040203</x:v>
      </x:c>
      <x:c r="B220" s="165" t="n">
        <x:v>45231</x:v>
      </x:c>
      <x:c r="C220" s="157" t="str">
        <x:v>Financials</x:v>
      </x:c>
      <x:c r="D220" s="157" t="str">
        <x:v>lease</x:v>
      </x:c>
      <x:c r="E220" s="157" t="str">
        <x:v>unsecured</x:v>
      </x:c>
      <x:c r="F220" s="157" t="str">
        <x:v>B</x:v>
      </x:c>
      <x:c r="G220" s="157" t="n">
        <x:v>656</x:v>
      </x:c>
      <x:c r="H220" s="166" t="n">
        <x:v>9628707.98</x:v>
      </x:c>
      <x:c r="I220" s="162" t="n">
        <x:v>0.6521</x:v>
      </x:c>
      <x:c r="J220" s="162" t="n">
        <x:v>0.216373</x:v>
      </x:c>
      <x:c r="K220" s="157" t="str">
        <x:v>High</x:v>
      </x:c>
      <x:c r="L220" s="157" t="n">
        <x:v>2</x:v>
      </x:c>
      <x:c r="M220" s="157" t="str">
        <x:v>Manual Review</x:v>
      </x:c>
      <x:c r="N220" s="166" t="n">
        <x:v>1358580.2</x:v>
      </x:c>
      <x:c r="O220" s="157" t="n">
        <x:v>0</x:v>
      </x:c>
      <x:c r="P220" s="157" t="str">
        <x:v>test</x:v>
      </x:c>
    </x:row>
    <x:row r="221">
      <x:c r="A221" s="157" t="str">
        <x:v>L043158</x:v>
      </x:c>
      <x:c r="B221" s="165" t="n">
        <x:v>45078</x:v>
      </x:c>
      <x:c r="C221" s="157" t="str">
        <x:v>Technology</x:v>
      </x:c>
      <x:c r="D221" s="157" t="str">
        <x:v>bond</x:v>
      </x:c>
      <x:c r="E221" s="157" t="str">
        <x:v>secured</x:v>
      </x:c>
      <x:c r="F221" s="157" t="str">
        <x:v>B</x:v>
      </x:c>
      <x:c r="G221" s="157" t="n">
        <x:v>693</x:v>
      </x:c>
      <x:c r="H221" s="166" t="n">
        <x:v>11897665.64</x:v>
      </x:c>
      <x:c r="I221" s="162" t="n">
        <x:v>0.4572</x:v>
      </x:c>
      <x:c r="J221" s="162" t="n">
        <x:v>0.249169</x:v>
      </x:c>
      <x:c r="K221" s="157" t="str">
        <x:v>High</x:v>
      </x:c>
      <x:c r="L221" s="157" t="n">
        <x:v>2</x:v>
      </x:c>
      <x:c r="M221" s="157" t="str">
        <x:v>Manual Review</x:v>
      </x:c>
      <x:c r="N221" s="166" t="n">
        <x:v>1355382.86</x:v>
      </x:c>
      <x:c r="O221" s="157" t="n">
        <x:v>1</x:v>
      </x:c>
      <x:c r="P221" s="157" t="str">
        <x:v>test</x:v>
      </x:c>
    </x:row>
    <x:row r="222">
      <x:c r="A222" s="157" t="str">
        <x:v>L009788</x:v>
      </x:c>
      <x:c r="B222" s="165" t="n">
        <x:v>44835</x:v>
      </x:c>
      <x:c r="C222" s="157" t="str">
        <x:v>Financials</x:v>
      </x:c>
      <x:c r="D222" s="157" t="str">
        <x:v>lease</x:v>
      </x:c>
      <x:c r="E222" s="157" t="str">
        <x:v>secured</x:v>
      </x:c>
      <x:c r="F222" s="157" t="str">
        <x:v>CCC</x:v>
      </x:c>
      <x:c r="G222" s="157" t="n">
        <x:v>659</x:v>
      </x:c>
      <x:c r="H222" s="166" t="n">
        <x:v>5092674.41</x:v>
      </x:c>
      <x:c r="I222" s="162" t="n">
        <x:v>0.5714</x:v>
      </x:c>
      <x:c r="J222" s="162" t="n">
        <x:v>0.465382</x:v>
      </x:c>
      <x:c r="K222" s="157" t="str">
        <x:v>Very High</x:v>
      </x:c>
      <x:c r="L222" s="157" t="n">
        <x:v>1</x:v>
      </x:c>
      <x:c r="M222" s="157" t="str">
        <x:v>Manual Review</x:v>
      </x:c>
      <x:c r="N222" s="166" t="n">
        <x:v>1354240.29</x:v>
      </x:c>
      <x:c r="O222" s="157" t="n">
        <x:v>0</x:v>
      </x:c>
      <x:c r="P222" s="157" t="str">
        <x:v>test</x:v>
      </x:c>
    </x:row>
    <x:row r="223">
      <x:c r="A223" s="157" t="str">
        <x:v>L036170</x:v>
      </x:c>
      <x:c r="B223" s="165" t="n">
        <x:v>44713</x:v>
      </x:c>
      <x:c r="C223" s="157" t="str">
        <x:v>Energy</x:v>
      </x:c>
      <x:c r="D223" s="157" t="str">
        <x:v>revolving</x:v>
      </x:c>
      <x:c r="E223" s="157" t="str">
        <x:v>partially_secured</x:v>
      </x:c>
      <x:c r="F223" s="157" t="str">
        <x:v>BB</x:v>
      </x:c>
      <x:c r="G223" s="157" t="n">
        <x:v>720</x:v>
      </x:c>
      <x:c r="H223" s="166" t="n">
        <x:v>13792692.03</x:v>
      </x:c>
      <x:c r="I223" s="162" t="n">
        <x:v>0.5108</x:v>
      </x:c>
      <x:c r="J223" s="162" t="n">
        <x:v>0.191633</x:v>
      </x:c>
      <x:c r="K223" s="157" t="str">
        <x:v>High</x:v>
      </x:c>
      <x:c r="L223" s="157" t="n">
        <x:v>3</x:v>
      </x:c>
      <x:c r="M223" s="157" t="str">
        <x:v>Manual Review</x:v>
      </x:c>
      <x:c r="N223" s="166" t="n">
        <x:v>1350113.33</x:v>
      </x:c>
      <x:c r="O223" s="157" t="n">
        <x:v>0</x:v>
      </x:c>
      <x:c r="P223" s="157" t="str">
        <x:v>test</x:v>
      </x:c>
    </x:row>
    <x:row r="224">
      <x:c r="A224" s="157" t="str">
        <x:v>L038176</x:v>
      </x:c>
      <x:c r="B224" s="165" t="n">
        <x:v>44682</x:v>
      </x:c>
      <x:c r="C224" s="157" t="str">
        <x:v>Financials</x:v>
      </x:c>
      <x:c r="D224" s="157" t="str">
        <x:v>term_loan</x:v>
      </x:c>
      <x:c r="E224" s="157" t="str">
        <x:v>secured</x:v>
      </x:c>
      <x:c r="F224" s="157" t="str">
        <x:v>CCC</x:v>
      </x:c>
      <x:c r="G224" s="157" t="n">
        <x:v>644</x:v>
      </x:c>
      <x:c r="H224" s="166" t="n">
        <x:v>6099555.84</x:v>
      </x:c>
      <x:c r="I224" s="162" t="n">
        <x:v>0.502</x:v>
      </x:c>
      <x:c r="J224" s="162" t="n">
        <x:v>0.440329</x:v>
      </x:c>
      <x:c r="K224" s="157" t="str">
        <x:v>Very High</x:v>
      </x:c>
      <x:c r="L224" s="157" t="n">
        <x:v>1</x:v>
      </x:c>
      <x:c r="M224" s="157" t="str">
        <x:v>Manual Review</x:v>
      </x:c>
      <x:c r="N224" s="166" t="n">
        <x:v>1348277.28</x:v>
      </x:c>
      <x:c r="O224" s="157" t="n">
        <x:v>0</x:v>
      </x:c>
      <x:c r="P224" s="157" t="str">
        <x:v>test</x:v>
      </x:c>
    </x:row>
    <x:row r="225">
      <x:c r="A225" s="157" t="str">
        <x:v>L035986</x:v>
      </x:c>
      <x:c r="B225" s="165" t="n">
        <x:v>45231</x:v>
      </x:c>
      <x:c r="C225" s="157" t="str">
        <x:v>Healthcare</x:v>
      </x:c>
      <x:c r="D225" s="157" t="str">
        <x:v>term_loan</x:v>
      </x:c>
      <x:c r="E225" s="157" t="str">
        <x:v>partially_secured</x:v>
      </x:c>
      <x:c r="F225" s="157" t="str">
        <x:v>BB</x:v>
      </x:c>
      <x:c r="G225" s="157" t="n">
        <x:v>659</x:v>
      </x:c>
      <x:c r="H225" s="166" t="n">
        <x:v>10534506.39</x:v>
      </x:c>
      <x:c r="I225" s="162" t="n">
        <x:v>0.6208</x:v>
      </x:c>
      <x:c r="J225" s="162" t="n">
        <x:v>0.206128</x:v>
      </x:c>
      <x:c r="K225" s="157" t="str">
        <x:v>High</x:v>
      </x:c>
      <x:c r="L225" s="157" t="n">
        <x:v>2</x:v>
      </x:c>
      <x:c r="M225" s="157" t="str">
        <x:v>Manual Review</x:v>
      </x:c>
      <x:c r="N225" s="166" t="n">
        <x:v>1348040.34</x:v>
      </x:c>
      <x:c r="O225" s="157" t="n">
        <x:v>0</x:v>
      </x:c>
      <x:c r="P225" s="157" t="str">
        <x:v>test</x:v>
      </x:c>
    </x:row>
    <x:row r="226">
      <x:c r="A226" s="157" t="str">
        <x:v>L047286</x:v>
      </x:c>
      <x:c r="B226" s="165" t="n">
        <x:v>44652</x:v>
      </x:c>
      <x:c r="C226" s="157" t="str">
        <x:v>Technology</x:v>
      </x:c>
      <x:c r="D226" s="157" t="str">
        <x:v>term_loan</x:v>
      </x:c>
      <x:c r="E226" s="157" t="str">
        <x:v>unsecured</x:v>
      </x:c>
      <x:c r="F226" s="157" t="str">
        <x:v>CCC</x:v>
      </x:c>
      <x:c r="G226" s="157" t="n">
        <x:v>654</x:v>
      </x:c>
      <x:c r="H226" s="166" t="n">
        <x:v>8600880.54</x:v>
      </x:c>
      <x:c r="I226" s="162" t="n">
        <x:v>0.5591</x:v>
      </x:c>
      <x:c r="J226" s="162" t="n">
        <x:v>0.277922</x:v>
      </x:c>
      <x:c r="K226" s="157" t="str">
        <x:v>High</x:v>
      </x:c>
      <x:c r="L226" s="157" t="n">
        <x:v>1</x:v>
      </x:c>
      <x:c r="M226" s="157" t="str">
        <x:v>Manual Review</x:v>
      </x:c>
      <x:c r="N226" s="166" t="n">
        <x:v>1336458.06</x:v>
      </x:c>
      <x:c r="O226" s="157" t="n">
        <x:v>1</x:v>
      </x:c>
      <x:c r="P226" s="157" t="str">
        <x:v>test</x:v>
      </x:c>
    </x:row>
    <x:row r="227">
      <x:c r="A227" s="157" t="str">
        <x:v>L003731</x:v>
      </x:c>
      <x:c r="B227" s="165" t="n">
        <x:v>44835</x:v>
      </x:c>
      <x:c r="C227" s="157" t="str">
        <x:v>Utilities</x:v>
      </x:c>
      <x:c r="D227" s="157" t="str">
        <x:v>bond</x:v>
      </x:c>
      <x:c r="E227" s="157" t="str">
        <x:v>unsecured</x:v>
      </x:c>
      <x:c r="F227" s="157" t="str">
        <x:v>BBB</x:v>
      </x:c>
      <x:c r="G227" s="157" t="n">
        <x:v>689</x:v>
      </x:c>
      <x:c r="H227" s="166" t="n">
        <x:v>10876012.83</x:v>
      </x:c>
      <x:c r="I227" s="162" t="n">
        <x:v>0.6868</x:v>
      </x:c>
      <x:c r="J227" s="162" t="n">
        <x:v>0.178814</x:v>
      </x:c>
      <x:c r="K227" s="157" t="str">
        <x:v>High</x:v>
      </x:c>
      <x:c r="L227" s="157" t="n">
        <x:v>4</x:v>
      </x:c>
      <x:c r="M227" s="157" t="str">
        <x:v>Manual Review</x:v>
      </x:c>
      <x:c r="N227" s="166" t="n">
        <x:v>1335677.21</x:v>
      </x:c>
      <x:c r="O227" s="157" t="n">
        <x:v>0</x:v>
      </x:c>
      <x:c r="P227" s="157" t="str">
        <x:v>test</x:v>
      </x:c>
    </x:row>
    <x:row r="228">
      <x:c r="A228" s="157" t="str">
        <x:v>L046538</x:v>
      </x:c>
      <x:c r="B228" s="165" t="n">
        <x:v>45170</x:v>
      </x:c>
      <x:c r="C228" s="157" t="str">
        <x:v>Real_Estate</x:v>
      </x:c>
      <x:c r="D228" s="157" t="str">
        <x:v>term_loan</x:v>
      </x:c>
      <x:c r="E228" s="157" t="str">
        <x:v>unsecured</x:v>
      </x:c>
      <x:c r="F228" s="157" t="str">
        <x:v>B</x:v>
      </x:c>
      <x:c r="G228" s="157" t="n">
        <x:v>653</x:v>
      </x:c>
      <x:c r="H228" s="166" t="n">
        <x:v>12245131.66</x:v>
      </x:c>
      <x:c r="I228" s="162" t="n">
        <x:v>0.5069</x:v>
      </x:c>
      <x:c r="J228" s="162" t="n">
        <x:v>0.215108</x:v>
      </x:c>
      <x:c r="K228" s="157" t="str">
        <x:v>High</x:v>
      </x:c>
      <x:c r="L228" s="157" t="n">
        <x:v>2</x:v>
      </x:c>
      <x:c r="M228" s="157" t="str">
        <x:v>Manual Review</x:v>
      </x:c>
      <x:c r="N228" s="166" t="n">
        <x:v>1335187.67</x:v>
      </x:c>
      <x:c r="O228" s="157" t="n">
        <x:v>0</x:v>
      </x:c>
      <x:c r="P228" s="157" t="str">
        <x:v>test</x:v>
      </x:c>
    </x:row>
    <x:row r="229">
      <x:c r="A229" s="157" t="str">
        <x:v>L000024</x:v>
      </x:c>
      <x:c r="B229" s="165" t="n">
        <x:v>45231</x:v>
      </x:c>
      <x:c r="C229" s="157" t="str">
        <x:v>Industrials</x:v>
      </x:c>
      <x:c r="D229" s="157" t="str">
        <x:v>mortgage</x:v>
      </x:c>
      <x:c r="E229" s="157" t="str">
        <x:v>partially_secured</x:v>
      </x:c>
      <x:c r="F229" s="157" t="str">
        <x:v>CCC</x:v>
      </x:c>
      <x:c r="G229" s="157" t="n">
        <x:v>669</x:v>
      </x:c>
      <x:c r="H229" s="166" t="n">
        <x:v>4576527.65</x:v>
      </x:c>
      <x:c r="I229" s="162" t="n">
        <x:v>0.6825</x:v>
      </x:c>
      <x:c r="J229" s="162" t="n">
        <x:v>0.42569</x:v>
      </x:c>
      <x:c r="K229" s="157" t="str">
        <x:v>Very High</x:v>
      </x:c>
      <x:c r="L229" s="157" t="n">
        <x:v>1</x:v>
      </x:c>
      <x:c r="M229" s="157" t="str">
        <x:v>Manual Review</x:v>
      </x:c>
      <x:c r="N229" s="166" t="n">
        <x:v>1329634.25</x:v>
      </x:c>
      <x:c r="O229" s="157" t="n">
        <x:v>0</x:v>
      </x:c>
      <x:c r="P229" s="157" t="str">
        <x:v>test</x:v>
      </x:c>
    </x:row>
    <x:row r="230">
      <x:c r="A230" s="157" t="str">
        <x:v>L040781</x:v>
      </x:c>
      <x:c r="B230" s="165" t="n">
        <x:v>45139</x:v>
      </x:c>
      <x:c r="C230" s="157" t="str">
        <x:v>Telecom</x:v>
      </x:c>
      <x:c r="D230" s="157" t="str">
        <x:v>revolving</x:v>
      </x:c>
      <x:c r="E230" s="157" t="str">
        <x:v>secured</x:v>
      </x:c>
      <x:c r="F230" s="157" t="str">
        <x:v>BBB</x:v>
      </x:c>
      <x:c r="G230" s="157" t="n">
        <x:v>690</x:v>
      </x:c>
      <x:c r="H230" s="166" t="n">
        <x:v>14204529.09</x:v>
      </x:c>
      <x:c r="I230" s="162" t="n">
        <x:v>0.4666</x:v>
      </x:c>
      <x:c r="J230" s="162" t="n">
        <x:v>0.200562</x:v>
      </x:c>
      <x:c r="K230" s="157" t="str">
        <x:v>High</x:v>
      </x:c>
      <x:c r="L230" s="157" t="n">
        <x:v>3</x:v>
      </x:c>
      <x:c r="M230" s="157" t="str">
        <x:v>Manual Review</x:v>
      </x:c>
      <x:c r="N230" s="166" t="n">
        <x:v>1329291.5</x:v>
      </x:c>
      <x:c r="O230" s="157" t="n">
        <x:v>0</x:v>
      </x:c>
      <x:c r="P230" s="157" t="str">
        <x:v>test</x:v>
      </x:c>
    </x:row>
    <x:row r="231">
      <x:c r="A231" s="157" t="str">
        <x:v>L028447</x:v>
      </x:c>
      <x:c r="B231" s="165" t="n">
        <x:v>44866</x:v>
      </x:c>
      <x:c r="C231" s="157" t="str">
        <x:v>Industrials</x:v>
      </x:c>
      <x:c r="D231" s="157" t="str">
        <x:v>term_loan</x:v>
      </x:c>
      <x:c r="E231" s="157" t="str">
        <x:v>partially_secured</x:v>
      </x:c>
      <x:c r="F231" s="157" t="str">
        <x:v>B</x:v>
      </x:c>
      <x:c r="G231" s="157" t="n">
        <x:v>690</x:v>
      </x:c>
      <x:c r="H231" s="166" t="n">
        <x:v>8890695.86</x:v>
      </x:c>
      <x:c r="I231" s="162" t="n">
        <x:v>0.5386</x:v>
      </x:c>
      <x:c r="J231" s="162" t="n">
        <x:v>0.277448</x:v>
      </x:c>
      <x:c r="K231" s="157" t="str">
        <x:v>High</x:v>
      </x:c>
      <x:c r="L231" s="157" t="n">
        <x:v>1</x:v>
      </x:c>
      <x:c r="M231" s="157" t="str">
        <x:v>Manual Review</x:v>
      </x:c>
      <x:c r="N231" s="166" t="n">
        <x:v>1328567.74</x:v>
      </x:c>
      <x:c r="O231" s="157" t="n">
        <x:v>1</x:v>
      </x:c>
      <x:c r="P231" s="157" t="str">
        <x:v>test</x:v>
      </x:c>
    </x:row>
    <x:row r="232">
      <x:c r="A232" s="157" t="str">
        <x:v>L004455</x:v>
      </x:c>
      <x:c r="B232" s="165" t="n">
        <x:v>44743</x:v>
      </x:c>
      <x:c r="C232" s="157" t="str">
        <x:v>Technology</x:v>
      </x:c>
      <x:c r="D232" s="157" t="str">
        <x:v>mortgage</x:v>
      </x:c>
      <x:c r="E232" s="157" t="str">
        <x:v>partially_secured</x:v>
      </x:c>
      <x:c r="F232" s="157" t="str">
        <x:v>CCC</x:v>
      </x:c>
      <x:c r="G232" s="157" t="n">
        <x:v>677</x:v>
      </x:c>
      <x:c r="H232" s="166" t="n">
        <x:v>3774941.84</x:v>
      </x:c>
      <x:c r="I232" s="162" t="n">
        <x:v>0.8602</x:v>
      </x:c>
      <x:c r="J232" s="162" t="n">
        <x:v>0.408891</x:v>
      </x:c>
      <x:c r="K232" s="157" t="str">
        <x:v>Very High</x:v>
      </x:c>
      <x:c r="L232" s="157" t="n">
        <x:v>1</x:v>
      </x:c>
      <x:c r="M232" s="157" t="str">
        <x:v>Manual Review</x:v>
      </x:c>
      <x:c r="N232" s="166" t="n">
        <x:v>1327752.89</x:v>
      </x:c>
      <x:c r="O232" s="157" t="n">
        <x:v>1</x:v>
      </x:c>
      <x:c r="P232" s="157" t="str">
        <x:v>test</x:v>
      </x:c>
    </x:row>
    <x:row r="233">
      <x:c r="A233" s="157" t="str">
        <x:v>L022715</x:v>
      </x:c>
      <x:c r="B233" s="165" t="n">
        <x:v>44682</x:v>
      </x:c>
      <x:c r="C233" s="157" t="str">
        <x:v>Real_Estate</x:v>
      </x:c>
      <x:c r="D233" s="157" t="str">
        <x:v>term_loan</x:v>
      </x:c>
      <x:c r="E233" s="157" t="str">
        <x:v>unsecured</x:v>
      </x:c>
      <x:c r="F233" s="157" t="str">
        <x:v>CCC</x:v>
      </x:c>
      <x:c r="G233" s="157" t="n">
        <x:v>666</x:v>
      </x:c>
      <x:c r="H233" s="166" t="n">
        <x:v>4805594.68</x:v>
      </x:c>
      <x:c r="I233" s="162" t="n">
        <x:v>0.7143</x:v>
      </x:c>
      <x:c r="J233" s="162" t="n">
        <x:v>0.385799</x:v>
      </x:c>
      <x:c r="K233" s="157" t="str">
        <x:v>Very High</x:v>
      </x:c>
      <x:c r="L233" s="157" t="n">
        <x:v>1</x:v>
      </x:c>
      <x:c r="M233" s="157" t="str">
        <x:v>Manual Review</x:v>
      </x:c>
      <x:c r="N233" s="166" t="n">
        <x:v>1324307.64</x:v>
      </x:c>
      <x:c r="O233" s="157" t="n">
        <x:v>0</x:v>
      </x:c>
      <x:c r="P233" s="157" t="str">
        <x:v>test</x:v>
      </x:c>
    </x:row>
    <x:row r="234">
      <x:c r="A234" s="157" t="str">
        <x:v>L042083</x:v>
      </x:c>
      <x:c r="B234" s="165" t="n">
        <x:v>44866</x:v>
      </x:c>
      <x:c r="C234" s="157" t="str">
        <x:v>Financials</x:v>
      </x:c>
      <x:c r="D234" s="157" t="str">
        <x:v>bond</x:v>
      </x:c>
      <x:c r="E234" s="157" t="str">
        <x:v>secured</x:v>
      </x:c>
      <x:c r="F234" s="157" t="str">
        <x:v>CCC</x:v>
      </x:c>
      <x:c r="G234" s="157" t="n">
        <x:v>650</x:v>
      </x:c>
      <x:c r="H234" s="166" t="n">
        <x:v>6300434.72</x:v>
      </x:c>
      <x:c r="I234" s="162" t="n">
        <x:v>0.4536</x:v>
      </x:c>
      <x:c r="J234" s="162" t="n">
        <x:v>0.459802</x:v>
      </x:c>
      <x:c r="K234" s="157" t="str">
        <x:v>Very High</x:v>
      </x:c>
      <x:c r="L234" s="157" t="n">
        <x:v>1</x:v>
      </x:c>
      <x:c r="M234" s="157" t="str">
        <x:v>Manual Review</x:v>
      </x:c>
      <x:c r="N234" s="166" t="n">
        <x:v>1314057.65</x:v>
      </x:c>
      <x:c r="O234" s="157" t="n">
        <x:v>0</x:v>
      </x:c>
      <x:c r="P234" s="157" t="str">
        <x:v>test</x:v>
      </x:c>
    </x:row>
    <x:row r="235">
      <x:c r="A235" s="157" t="str">
        <x:v>L038672</x:v>
      </x:c>
      <x:c r="B235" s="165" t="n">
        <x:v>44743</x:v>
      </x:c>
      <x:c r="C235" s="157" t="str">
        <x:v>Technology</x:v>
      </x:c>
      <x:c r="D235" s="157" t="str">
        <x:v>revolving</x:v>
      </x:c>
      <x:c r="E235" s="157" t="str">
        <x:v>unsecured</x:v>
      </x:c>
      <x:c r="F235" s="157" t="str">
        <x:v>B</x:v>
      </x:c>
      <x:c r="G235" s="157" t="n">
        <x:v>697</x:v>
      </x:c>
      <x:c r="H235" s="166" t="n">
        <x:v>7383126.78</x:v>
      </x:c>
      <x:c r="I235" s="162" t="n">
        <x:v>0.8622</x:v>
      </x:c>
      <x:c r="J235" s="162" t="n">
        <x:v>0.206074</x:v>
      </x:c>
      <x:c r="K235" s="157" t="str">
        <x:v>High</x:v>
      </x:c>
      <x:c r="L235" s="157" t="n">
        <x:v>2</x:v>
      </x:c>
      <x:c r="M235" s="157" t="str">
        <x:v>Manual Review</x:v>
      </x:c>
      <x:c r="N235" s="166" t="n">
        <x:v>1311811.84</x:v>
      </x:c>
      <x:c r="O235" s="157" t="n">
        <x:v>1</x:v>
      </x:c>
      <x:c r="P235" s="157" t="str">
        <x:v>test</x:v>
      </x:c>
    </x:row>
    <x:row r="236">
      <x:c r="A236" s="157" t="str">
        <x:v>L026687</x:v>
      </x:c>
      <x:c r="B236" s="165" t="n">
        <x:v>45017</x:v>
      </x:c>
      <x:c r="C236" s="157" t="str">
        <x:v>Financials</x:v>
      </x:c>
      <x:c r="D236" s="157" t="str">
        <x:v>term_loan</x:v>
      </x:c>
      <x:c r="E236" s="157" t="str">
        <x:v>partially_secured</x:v>
      </x:c>
      <x:c r="F236" s="157" t="str">
        <x:v>BB</x:v>
      </x:c>
      <x:c r="G236" s="157" t="n">
        <x:v>734</x:v>
      </x:c>
      <x:c r="H236" s="166" t="n">
        <x:v>14347366.27</x:v>
      </x:c>
      <x:c r="I236" s="162" t="n">
        <x:v>0.4657</x:v>
      </x:c>
      <x:c r="J236" s="162" t="n">
        <x:v>0.19605</x:v>
      </x:c>
      <x:c r="K236" s="157" t="str">
        <x:v>High</x:v>
      </x:c>
      <x:c r="L236" s="157" t="n">
        <x:v>3</x:v>
      </x:c>
      <x:c r="M236" s="157" t="str">
        <x:v>Manual Review</x:v>
      </x:c>
      <x:c r="N236" s="166" t="n">
        <x:v>1309921.5</x:v>
      </x:c>
      <x:c r="O236" s="157" t="n">
        <x:v>0</x:v>
      </x:c>
      <x:c r="P236" s="157" t="str">
        <x:v>test</x:v>
      </x:c>
    </x:row>
    <x:row r="237">
      <x:c r="A237" s="157" t="str">
        <x:v>L042047</x:v>
      </x:c>
      <x:c r="B237" s="165" t="n">
        <x:v>45231</x:v>
      </x:c>
      <x:c r="C237" s="157" t="str">
        <x:v>Real_Estate</x:v>
      </x:c>
      <x:c r="D237" s="157" t="str">
        <x:v>mortgage</x:v>
      </x:c>
      <x:c r="E237" s="157" t="str">
        <x:v>partially_secured</x:v>
      </x:c>
      <x:c r="F237" s="157" t="str">
        <x:v>B</x:v>
      </x:c>
      <x:c r="G237" s="157" t="n">
        <x:v>661</x:v>
      </x:c>
      <x:c r="H237" s="166" t="n">
        <x:v>7792978.52</x:v>
      </x:c>
      <x:c r="I237" s="162" t="n">
        <x:v>0.638</x:v>
      </x:c>
      <x:c r="J237" s="162" t="n">
        <x:v>0.262714</x:v>
      </x:c>
      <x:c r="K237" s="157" t="str">
        <x:v>High</x:v>
      </x:c>
      <x:c r="L237" s="157" t="n">
        <x:v>2</x:v>
      </x:c>
      <x:c r="M237" s="157" t="str">
        <x:v>Manual Review</x:v>
      </x:c>
      <x:c r="N237" s="166" t="n">
        <x:v>1306193.07</x:v>
      </x:c>
      <x:c r="O237" s="157" t="n">
        <x:v>0</x:v>
      </x:c>
      <x:c r="P237" s="157" t="str">
        <x:v>test</x:v>
      </x:c>
    </x:row>
    <x:row r="238">
      <x:c r="A238" s="157" t="str">
        <x:v>L030012</x:v>
      </x:c>
      <x:c r="B238" s="165" t="n">
        <x:v>44835</x:v>
      </x:c>
      <x:c r="C238" s="157" t="str">
        <x:v>Financials</x:v>
      </x:c>
      <x:c r="D238" s="157" t="str">
        <x:v>mortgage</x:v>
      </x:c>
      <x:c r="E238" s="157" t="str">
        <x:v>secured</x:v>
      </x:c>
      <x:c r="F238" s="157" t="str">
        <x:v>BBB</x:v>
      </x:c>
      <x:c r="G238" s="157" t="n">
        <x:v>730</x:v>
      </x:c>
      <x:c r="H238" s="166" t="n">
        <x:v>17191366.1</x:v>
      </x:c>
      <x:c r="I238" s="162" t="n">
        <x:v>0.4409</x:v>
      </x:c>
      <x:c r="J238" s="162" t="n">
        <x:v>0.172027</x:v>
      </x:c>
      <x:c r="K238" s="157" t="str">
        <x:v>High</x:v>
      </x:c>
      <x:c r="L238" s="157" t="n">
        <x:v>4</x:v>
      </x:c>
      <x:c r="M238" s="157" t="str">
        <x:v>Manual Review</x:v>
      </x:c>
      <x:c r="N238" s="166" t="n">
        <x:v>1303908.46</x:v>
      </x:c>
      <x:c r="O238" s="157" t="n">
        <x:v>0</x:v>
      </x:c>
      <x:c r="P238" s="157" t="str">
        <x:v>test</x:v>
      </x:c>
    </x:row>
    <x:row r="239">
      <x:c r="A239" s="157" t="str">
        <x:v>L039474</x:v>
      </x:c>
      <x:c r="B239" s="165" t="n">
        <x:v>44986</x:v>
      </x:c>
      <x:c r="C239" s="157" t="str">
        <x:v>Energy</x:v>
      </x:c>
      <x:c r="D239" s="157" t="str">
        <x:v>mortgage</x:v>
      </x:c>
      <x:c r="E239" s="157" t="str">
        <x:v>unsecured</x:v>
      </x:c>
      <x:c r="F239" s="157" t="str">
        <x:v>BB</x:v>
      </x:c>
      <x:c r="G239" s="157" t="n">
        <x:v>728</x:v>
      </x:c>
      <x:c r="H239" s="166" t="n">
        <x:v>10905856.08</x:v>
      </x:c>
      <x:c r="I239" s="162" t="n">
        <x:v>0.6816</x:v>
      </x:c>
      <x:c r="J239" s="162" t="n">
        <x:v>0.174673</x:v>
      </x:c>
      <x:c r="K239" s="157" t="str">
        <x:v>High</x:v>
      </x:c>
      <x:c r="L239" s="157" t="n">
        <x:v>4</x:v>
      </x:c>
      <x:c r="M239" s="157" t="str">
        <x:v>Manual Review</x:v>
      </x:c>
      <x:c r="N239" s="166" t="n">
        <x:v>1298419.78</x:v>
      </x:c>
      <x:c r="O239" s="157" t="n">
        <x:v>0</x:v>
      </x:c>
      <x:c r="P239" s="157" t="str">
        <x:v>test</x:v>
      </x:c>
    </x:row>
    <x:row r="240">
      <x:c r="A240" s="157" t="str">
        <x:v>L046667</x:v>
      </x:c>
      <x:c r="B240" s="165" t="n">
        <x:v>44743</x:v>
      </x:c>
      <x:c r="C240" s="157" t="str">
        <x:v>Financials</x:v>
      </x:c>
      <x:c r="D240" s="157" t="str">
        <x:v>mortgage</x:v>
      </x:c>
      <x:c r="E240" s="157" t="str">
        <x:v>partially_secured</x:v>
      </x:c>
      <x:c r="F240" s="157" t="str">
        <x:v>CCC</x:v>
      </x:c>
      <x:c r="G240" s="157" t="n">
        <x:v>657</x:v>
      </x:c>
      <x:c r="H240" s="166" t="n">
        <x:v>4985269.3</x:v>
      </x:c>
      <x:c r="I240" s="162" t="n">
        <x:v>0.6791</x:v>
      </x:c>
      <x:c r="J240" s="162" t="n">
        <x:v>0.382115</x:v>
      </x:c>
      <x:c r="K240" s="157" t="str">
        <x:v>Very High</x:v>
      </x:c>
      <x:c r="L240" s="157" t="n">
        <x:v>1</x:v>
      </x:c>
      <x:c r="M240" s="157" t="str">
        <x:v>Manual Review</x:v>
      </x:c>
      <x:c r="N240" s="166" t="n">
        <x:v>1293648.95</x:v>
      </x:c>
      <x:c r="O240" s="157" t="n">
        <x:v>1</x:v>
      </x:c>
      <x:c r="P240" s="157" t="str">
        <x:v>test</x:v>
      </x:c>
    </x:row>
    <x:row r="241">
      <x:c r="A241" s="157" t="str">
        <x:v>L007631</x:v>
      </x:c>
      <x:c r="B241" s="165" t="n">
        <x:v>45108</x:v>
      </x:c>
      <x:c r="C241" s="157" t="str">
        <x:v>Real_Estate</x:v>
      </x:c>
      <x:c r="D241" s="157" t="str">
        <x:v>mortgage</x:v>
      </x:c>
      <x:c r="E241" s="157" t="str">
        <x:v>secured</x:v>
      </x:c>
      <x:c r="F241" s="157" t="str">
        <x:v>CCC</x:v>
      </x:c>
      <x:c r="G241" s="157" t="n">
        <x:v>620</x:v>
      </x:c>
      <x:c r="H241" s="166" t="n">
        <x:v>6492016.21</x:v>
      </x:c>
      <x:c r="I241" s="162" t="n">
        <x:v>0.4576</x:v>
      </x:c>
      <x:c r="J241" s="162" t="n">
        <x:v>0.434634</x:v>
      </x:c>
      <x:c r="K241" s="157" t="str">
        <x:v>Very High</x:v>
      </x:c>
      <x:c r="L241" s="157" t="n">
        <x:v>1</x:v>
      </x:c>
      <x:c r="M241" s="157" t="str">
        <x:v>Manual Review</x:v>
      </x:c>
      <x:c r="N241" s="166" t="n">
        <x:v>1291187.49</x:v>
      </x:c>
      <x:c r="O241" s="157" t="n">
        <x:v>1</x:v>
      </x:c>
      <x:c r="P241" s="157" t="str">
        <x:v>test</x:v>
      </x:c>
    </x:row>
    <x:row r="242">
      <x:c r="A242" s="157" t="str">
        <x:v>L001294</x:v>
      </x:c>
      <x:c r="B242" s="165" t="n">
        <x:v>44927</x:v>
      </x:c>
      <x:c r="C242" s="157" t="str">
        <x:v>Financials</x:v>
      </x:c>
      <x:c r="D242" s="157" t="str">
        <x:v>term_loan</x:v>
      </x:c>
      <x:c r="E242" s="157" t="str">
        <x:v>unsecured</x:v>
      </x:c>
      <x:c r="F242" s="157" t="str">
        <x:v>B</x:v>
      </x:c>
      <x:c r="G242" s="157" t="n">
        <x:v>640</x:v>
      </x:c>
      <x:c r="H242" s="166" t="n">
        <x:v>8761101.83</x:v>
      </x:c>
      <x:c r="I242" s="162" t="n">
        <x:v>0.5862</x:v>
      </x:c>
      <x:c r="J242" s="162" t="n">
        <x:v>0.250868</x:v>
      </x:c>
      <x:c r="K242" s="157" t="str">
        <x:v>High</x:v>
      </x:c>
      <x:c r="L242" s="157" t="n">
        <x:v>2</x:v>
      </x:c>
      <x:c r="M242" s="157" t="str">
        <x:v>Manual Review</x:v>
      </x:c>
      <x:c r="N242" s="166" t="n">
        <x:v>1288397.31</x:v>
      </x:c>
      <x:c r="O242" s="157" t="n">
        <x:v>1</x:v>
      </x:c>
      <x:c r="P242" s="157" t="str">
        <x:v>test</x:v>
      </x:c>
    </x:row>
    <x:row r="243">
      <x:c r="A243" s="157" t="str">
        <x:v>L019721</x:v>
      </x:c>
      <x:c r="B243" s="165" t="n">
        <x:v>44896</x:v>
      </x:c>
      <x:c r="C243" s="157" t="str">
        <x:v>Energy</x:v>
      </x:c>
      <x:c r="D243" s="157" t="str">
        <x:v>term_loan</x:v>
      </x:c>
      <x:c r="E243" s="157" t="str">
        <x:v>partially_secured</x:v>
      </x:c>
      <x:c r="F243" s="157" t="str">
        <x:v>BB</x:v>
      </x:c>
      <x:c r="G243" s="157" t="n">
        <x:v>724</x:v>
      </x:c>
      <x:c r="H243" s="166" t="n">
        <x:v>12861678.72</x:v>
      </x:c>
      <x:c r="I243" s="162" t="n">
        <x:v>0.5478</x:v>
      </x:c>
      <x:c r="J243" s="162" t="n">
        <x:v>0.181418</x:v>
      </x:c>
      <x:c r="K243" s="157" t="str">
        <x:v>High</x:v>
      </x:c>
      <x:c r="L243" s="157" t="n">
        <x:v>3</x:v>
      </x:c>
      <x:c r="M243" s="157" t="str">
        <x:v>Manual Review</x:v>
      </x:c>
      <x:c r="N243" s="166" t="n">
        <x:v>1278203.67</x:v>
      </x:c>
      <x:c r="O243" s="157" t="n">
        <x:v>0</x:v>
      </x:c>
      <x:c r="P243" s="157" t="str">
        <x:v>test</x:v>
      </x:c>
    </x:row>
    <x:row r="244">
      <x:c r="A244" s="157" t="str">
        <x:v>L008418</x:v>
      </x:c>
      <x:c r="B244" s="165" t="n">
        <x:v>44774</x:v>
      </x:c>
      <x:c r="C244" s="157" t="str">
        <x:v>Industrials</x:v>
      </x:c>
      <x:c r="D244" s="157" t="str">
        <x:v>mortgage</x:v>
      </x:c>
      <x:c r="E244" s="157" t="str">
        <x:v>secured</x:v>
      </x:c>
      <x:c r="F244" s="157" t="str">
        <x:v>B</x:v>
      </x:c>
      <x:c r="G244" s="157" t="n">
        <x:v>711</x:v>
      </x:c>
      <x:c r="H244" s="166" t="n">
        <x:v>12225728.44</x:v>
      </x:c>
      <x:c r="I244" s="162" t="n">
        <x:v>0.5478</x:v>
      </x:c>
      <x:c r="J244" s="162" t="n">
        <x:v>0.190088</x:v>
      </x:c>
      <x:c r="K244" s="157" t="str">
        <x:v>High</x:v>
      </x:c>
      <x:c r="L244" s="157" t="n">
        <x:v>3</x:v>
      </x:c>
      <x:c r="M244" s="157" t="str">
        <x:v>Manual Review</x:v>
      </x:c>
      <x:c r="N244" s="166" t="n">
        <x:v>1273067.63</x:v>
      </x:c>
      <x:c r="O244" s="157" t="n">
        <x:v>1</x:v>
      </x:c>
      <x:c r="P244" s="157" t="str">
        <x:v>test</x:v>
      </x:c>
    </x:row>
    <x:row r="245">
      <x:c r="A245" s="157" t="str">
        <x:v>L001538</x:v>
      </x:c>
      <x:c r="B245" s="165" t="n">
        <x:v>44713</x:v>
      </x:c>
      <x:c r="C245" s="157" t="str">
        <x:v>Financials</x:v>
      </x:c>
      <x:c r="D245" s="157" t="str">
        <x:v>mortgage</x:v>
      </x:c>
      <x:c r="E245" s="157" t="str">
        <x:v>unsecured</x:v>
      </x:c>
      <x:c r="F245" s="157" t="str">
        <x:v>BB</x:v>
      </x:c>
      <x:c r="G245" s="157" t="n">
        <x:v>739</x:v>
      </x:c>
      <x:c r="H245" s="166" t="n">
        <x:v>13052559.23</x:v>
      </x:c>
      <x:c r="I245" s="162" t="n">
        <x:v>0.5362</x:v>
      </x:c>
      <x:c r="J245" s="162" t="n">
        <x:v>0.181104</x:v>
      </x:c>
      <x:c r="K245" s="157" t="str">
        <x:v>High</x:v>
      </x:c>
      <x:c r="L245" s="157" t="n">
        <x:v>3</x:v>
      </x:c>
      <x:c r="M245" s="157" t="str">
        <x:v>Manual Review</x:v>
      </x:c>
      <x:c r="N245" s="166" t="n">
        <x:v>1267507.46</x:v>
      </x:c>
      <x:c r="O245" s="157" t="n">
        <x:v>1</x:v>
      </x:c>
      <x:c r="P245" s="157" t="str">
        <x:v>test</x:v>
      </x:c>
    </x:row>
    <x:row r="246">
      <x:c r="A246" s="157" t="str">
        <x:v>L030366</x:v>
      </x:c>
      <x:c r="B246" s="165" t="n">
        <x:v>44835</x:v>
      </x:c>
      <x:c r="C246" s="157" t="str">
        <x:v>Utilities</x:v>
      </x:c>
      <x:c r="D246" s="157" t="str">
        <x:v>term_loan</x:v>
      </x:c>
      <x:c r="E246" s="157" t="str">
        <x:v>unsecured</x:v>
      </x:c>
      <x:c r="F246" s="157" t="str">
        <x:v>BBB</x:v>
      </x:c>
      <x:c r="G246" s="157" t="n">
        <x:v>760</x:v>
      </x:c>
      <x:c r="H246" s="166" t="n">
        <x:v>12082403.05</x:v>
      </x:c>
      <x:c r="I246" s="162" t="n">
        <x:v>0.5882</x:v>
      </x:c>
      <x:c r="J246" s="162" t="n">
        <x:v>0.178198</x:v>
      </x:c>
      <x:c r="K246" s="157" t="str">
        <x:v>High</x:v>
      </x:c>
      <x:c r="L246" s="157" t="n">
        <x:v>4</x:v>
      </x:c>
      <x:c r="M246" s="157" t="str">
        <x:v>Manual Review</x:v>
      </x:c>
      <x:c r="N246" s="166" t="n">
        <x:v>1266429.93</x:v>
      </x:c>
      <x:c r="O246" s="157" t="n">
        <x:v>0</x:v>
      </x:c>
      <x:c r="P246" s="157" t="str">
        <x:v>test</x:v>
      </x:c>
    </x:row>
    <x:row r="247">
      <x:c r="A247" s="157" t="str">
        <x:v>L026029</x:v>
      </x:c>
      <x:c r="B247" s="165" t="n">
        <x:v>45170</x:v>
      </x:c>
      <x:c r="C247" s="157" t="str">
        <x:v>Utilities</x:v>
      </x:c>
      <x:c r="D247" s="157" t="str">
        <x:v>mortgage</x:v>
      </x:c>
      <x:c r="E247" s="157" t="str">
        <x:v>secured</x:v>
      </x:c>
      <x:c r="F247" s="157" t="str">
        <x:v>B</x:v>
      </x:c>
      <x:c r="G247" s="157" t="n">
        <x:v>666</x:v>
      </x:c>
      <x:c r="H247" s="166" t="n">
        <x:v>13910880.1</x:v>
      </x:c>
      <x:c r="I247" s="162" t="n">
        <x:v>0.3572</x:v>
      </x:c>
      <x:c r="J247" s="162" t="n">
        <x:v>0.254861</x:v>
      </x:c>
      <x:c r="K247" s="157" t="str">
        <x:v>High</x:v>
      </x:c>
      <x:c r="L247" s="157" t="n">
        <x:v>2</x:v>
      </x:c>
      <x:c r="M247" s="157" t="str">
        <x:v>Manual Review</x:v>
      </x:c>
      <x:c r="N247" s="166" t="n">
        <x:v>1266395.74</x:v>
      </x:c>
      <x:c r="O247" s="157" t="n">
        <x:v>0</x:v>
      </x:c>
      <x:c r="P247" s="157" t="str">
        <x:v>test</x:v>
      </x:c>
    </x:row>
    <x:row r="248">
      <x:c r="A248" s="157" t="str">
        <x:v>L019374</x:v>
      </x:c>
      <x:c r="B248" s="165" t="n">
        <x:v>44896</x:v>
      </x:c>
      <x:c r="C248" s="157" t="str">
        <x:v>Telecom</x:v>
      </x:c>
      <x:c r="D248" s="157" t="str">
        <x:v>term_loan</x:v>
      </x:c>
      <x:c r="E248" s="157" t="str">
        <x:v>partially_secured</x:v>
      </x:c>
      <x:c r="F248" s="157" t="str">
        <x:v>CCC</x:v>
      </x:c>
      <x:c r="G248" s="157" t="n">
        <x:v>630</x:v>
      </x:c>
      <x:c r="H248" s="166" t="n">
        <x:v>5117619.5</x:v>
      </x:c>
      <x:c r="I248" s="162" t="n">
        <x:v>0.6118</x:v>
      </x:c>
      <x:c r="J248" s="162" t="n">
        <x:v>0.40438</x:v>
      </x:c>
      <x:c r="K248" s="157" t="str">
        <x:v>Very High</x:v>
      </x:c>
      <x:c r="L248" s="157" t="n">
        <x:v>1</x:v>
      </x:c>
      <x:c r="M248" s="157" t="str">
        <x:v>Manual Review</x:v>
      </x:c>
      <x:c r="N248" s="166" t="n">
        <x:v>1266097.45</x:v>
      </x:c>
      <x:c r="O248" s="157" t="n">
        <x:v>0</x:v>
      </x:c>
      <x:c r="P248" s="157" t="str">
        <x:v>test</x:v>
      </x:c>
    </x:row>
    <x:row r="249">
      <x:c r="A249" s="157" t="str">
        <x:v>L036240</x:v>
      </x:c>
      <x:c r="B249" s="165" t="n">
        <x:v>44986</x:v>
      </x:c>
      <x:c r="C249" s="157" t="str">
        <x:v>Industrials</x:v>
      </x:c>
      <x:c r="D249" s="157" t="str">
        <x:v>revolving</x:v>
      </x:c>
      <x:c r="E249" s="157" t="str">
        <x:v>unsecured</x:v>
      </x:c>
      <x:c r="F249" s="157" t="str">
        <x:v>B</x:v>
      </x:c>
      <x:c r="G249" s="157" t="n">
        <x:v>674</x:v>
      </x:c>
      <x:c r="H249" s="166" t="n">
        <x:v>8481549.73</x:v>
      </x:c>
      <x:c r="I249" s="162" t="n">
        <x:v>0.5921</x:v>
      </x:c>
      <x:c r="J249" s="162" t="n">
        <x:v>0.249351</x:v>
      </x:c>
      <x:c r="K249" s="157" t="str">
        <x:v>High</x:v>
      </x:c>
      <x:c r="L249" s="157" t="n">
        <x:v>2</x:v>
      </x:c>
      <x:c r="M249" s="157" t="str">
        <x:v>Manual Review</x:v>
      </x:c>
      <x:c r="N249" s="166" t="n">
        <x:v>1252222.17</x:v>
      </x:c>
      <x:c r="O249" s="157" t="n">
        <x:v>0</x:v>
      </x:c>
      <x:c r="P249" s="157" t="str">
        <x:v>test</x:v>
      </x:c>
    </x:row>
    <x:row r="250">
      <x:c r="A250" s="157" t="str">
        <x:v>L045277</x:v>
      </x:c>
      <x:c r="B250" s="165" t="n">
        <x:v>44774</x:v>
      </x:c>
      <x:c r="C250" s="157" t="str">
        <x:v>Technology</x:v>
      </x:c>
      <x:c r="D250" s="157" t="str">
        <x:v>revolving</x:v>
      </x:c>
      <x:c r="E250" s="157" t="str">
        <x:v>unsecured</x:v>
      </x:c>
      <x:c r="F250" s="157" t="str">
        <x:v>CCC</x:v>
      </x:c>
      <x:c r="G250" s="157" t="n">
        <x:v>663</x:v>
      </x:c>
      <x:c r="H250" s="166" t="n">
        <x:v>5181395.64</x:v>
      </x:c>
      <x:c r="I250" s="162" t="n">
        <x:v>0.7651</x:v>
      </x:c>
      <x:c r="J250" s="162" t="n">
        <x:v>0.314574</x:v>
      </x:c>
      <x:c r="K250" s="157" t="str">
        <x:v>Very High</x:v>
      </x:c>
      <x:c r="L250" s="157" t="n">
        <x:v>1</x:v>
      </x:c>
      <x:c r="M250" s="157" t="str">
        <x:v>Manual Review</x:v>
      </x:c>
      <x:c r="N250" s="166" t="n">
        <x:v>1247061.24</x:v>
      </x:c>
      <x:c r="O250" s="157" t="n">
        <x:v>0</x:v>
      </x:c>
      <x:c r="P250" s="157" t="str">
        <x:v>test</x:v>
      </x:c>
    </x:row>
    <x:row r="251">
      <x:c r="A251" s="157" t="str">
        <x:v>L036850</x:v>
      </x:c>
      <x:c r="B251" s="165" t="n">
        <x:v>45078</x:v>
      </x:c>
      <x:c r="C251" s="157" t="str">
        <x:v>Telecom</x:v>
      </x:c>
      <x:c r="D251" s="157" t="str">
        <x:v>term_loan</x:v>
      </x:c>
      <x:c r="E251" s="157" t="str">
        <x:v>secured</x:v>
      </x:c>
      <x:c r="F251" s="157" t="str">
        <x:v>B</x:v>
      </x:c>
      <x:c r="G251" s="157" t="n">
        <x:v>660</x:v>
      </x:c>
      <x:c r="H251" s="166" t="n">
        <x:v>7237625.52</x:v>
      </x:c>
      <x:c r="I251" s="162" t="n">
        <x:v>0.6251</x:v>
      </x:c>
      <x:c r="J251" s="162" t="n">
        <x:v>0.275504</x:v>
      </x:c>
      <x:c r="K251" s="157" t="str">
        <x:v>High</x:v>
      </x:c>
      <x:c r="L251" s="157" t="n">
        <x:v>1</x:v>
      </x:c>
      <x:c r="M251" s="157" t="str">
        <x:v>Manual Review</x:v>
      </x:c>
      <x:c r="N251" s="166" t="n">
        <x:v>1246446.14</x:v>
      </x:c>
      <x:c r="O251" s="157" t="n">
        <x:v>0</x:v>
      </x:c>
      <x:c r="P251" s="157" t="str">
        <x:v>test</x:v>
      </x:c>
    </x:row>
    <x:row r="252">
      <x:c r="A252" s="157" t="str">
        <x:v>L027229</x:v>
      </x:c>
      <x:c r="B252" s="165" t="n">
        <x:v>44682</x:v>
      </x:c>
      <x:c r="C252" s="157" t="str">
        <x:v>Energy</x:v>
      </x:c>
      <x:c r="D252" s="157" t="str">
        <x:v>revolving</x:v>
      </x:c>
      <x:c r="E252" s="157" t="str">
        <x:v>unsecured</x:v>
      </x:c>
      <x:c r="F252" s="157" t="str">
        <x:v>CCC</x:v>
      </x:c>
      <x:c r="G252" s="157" t="n">
        <x:v>660</x:v>
      </x:c>
      <x:c r="H252" s="166" t="n">
        <x:v>4320494.81</x:v>
      </x:c>
      <x:c r="I252" s="162" t="n">
        <x:v>0.7044</x:v>
      </x:c>
      <x:c r="J252" s="162" t="n">
        <x:v>0.408638</x:v>
      </x:c>
      <x:c r="K252" s="157" t="str">
        <x:v>Very High</x:v>
      </x:c>
      <x:c r="L252" s="157" t="n">
        <x:v>1</x:v>
      </x:c>
      <x:c r="M252" s="157" t="str">
        <x:v>Manual Review</x:v>
      </x:c>
      <x:c r="N252" s="166" t="n">
        <x:v>1243631.13</x:v>
      </x:c>
      <x:c r="O252" s="157" t="n">
        <x:v>0</x:v>
      </x:c>
      <x:c r="P252" s="157" t="str">
        <x:v>test</x:v>
      </x:c>
    </x:row>
    <x:row r="253">
      <x:c r="A253" s="157" t="str">
        <x:v>L048054</x:v>
      </x:c>
      <x:c r="B253" s="165" t="n">
        <x:v>45200</x:v>
      </x:c>
      <x:c r="C253" s="157" t="str">
        <x:v>Utilities</x:v>
      </x:c>
      <x:c r="D253" s="157" t="str">
        <x:v>mortgage</x:v>
      </x:c>
      <x:c r="E253" s="157" t="str">
        <x:v>secured</x:v>
      </x:c>
      <x:c r="F253" s="157" t="str">
        <x:v>BB</x:v>
      </x:c>
      <x:c r="G253" s="157" t="n">
        <x:v>668</x:v>
      </x:c>
      <x:c r="H253" s="166" t="n">
        <x:v>15999077.69</x:v>
      </x:c>
      <x:c r="I253" s="162" t="n">
        <x:v>0.4464</x:v>
      </x:c>
      <x:c r="J253" s="162" t="n">
        <x:v>0.173791</x:v>
      </x:c>
      <x:c r="K253" s="157" t="str">
        <x:v>High</x:v>
      </x:c>
      <x:c r="L253" s="157" t="n">
        <x:v>4</x:v>
      </x:c>
      <x:c r="M253" s="157" t="str">
        <x:v>Manual Review</x:v>
      </x:c>
      <x:c r="N253" s="166" t="n">
        <x:v>1241213.29</x:v>
      </x:c>
      <x:c r="O253" s="157" t="n">
        <x:v>0</x:v>
      </x:c>
      <x:c r="P253" s="157" t="str">
        <x:v>test</x:v>
      </x:c>
    </x:row>
    <x:row r="254">
      <x:c r="A254" s="157" t="str">
        <x:v>L012345</x:v>
      </x:c>
      <x:c r="B254" s="165" t="n">
        <x:v>45170</x:v>
      </x:c>
      <x:c r="C254" s="157" t="str">
        <x:v>Telecom</x:v>
      </x:c>
      <x:c r="D254" s="157" t="str">
        <x:v>term_loan</x:v>
      </x:c>
      <x:c r="E254" s="157" t="str">
        <x:v>partially_secured</x:v>
      </x:c>
      <x:c r="F254" s="157" t="str">
        <x:v>BB</x:v>
      </x:c>
      <x:c r="G254" s="157" t="n">
        <x:v>679</x:v>
      </x:c>
      <x:c r="H254" s="166" t="n">
        <x:v>9537575.37</x:v>
      </x:c>
      <x:c r="I254" s="162" t="n">
        <x:v>0.6644</x:v>
      </x:c>
      <x:c r="J254" s="162" t="n">
        <x:v>0.195453</x:v>
      </x:c>
      <x:c r="K254" s="157" t="str">
        <x:v>High</x:v>
      </x:c>
      <x:c r="L254" s="157" t="n">
        <x:v>3</x:v>
      </x:c>
      <x:c r="M254" s="157" t="str">
        <x:v>Manual Review</x:v>
      </x:c>
      <x:c r="N254" s="166" t="n">
        <x:v>1238539.74</x:v>
      </x:c>
      <x:c r="O254" s="157" t="n">
        <x:v>0</x:v>
      </x:c>
      <x:c r="P254" s="157" t="str">
        <x:v>test</x:v>
      </x:c>
    </x:row>
    <x:row r="255">
      <x:c r="A255" s="157" t="str">
        <x:v>L035633</x:v>
      </x:c>
      <x:c r="B255" s="165" t="n">
        <x:v>45108</x:v>
      </x:c>
      <x:c r="C255" s="157" t="str">
        <x:v>Utilities</x:v>
      </x:c>
      <x:c r="D255" s="157" t="str">
        <x:v>term_loan</x:v>
      </x:c>
      <x:c r="E255" s="157" t="str">
        <x:v>partially_secured</x:v>
      </x:c>
      <x:c r="F255" s="157" t="str">
        <x:v>BBB</x:v>
      </x:c>
      <x:c r="G255" s="157" t="n">
        <x:v>719</x:v>
      </x:c>
      <x:c r="H255" s="166" t="n">
        <x:v>12581508.03</x:v>
      </x:c>
      <x:c r="I255" s="162" t="n">
        <x:v>0.5278</x:v>
      </x:c>
      <x:c r="J255" s="162" t="n">
        <x:v>0.18631</x:v>
      </x:c>
      <x:c r="K255" s="157" t="str">
        <x:v>High</x:v>
      </x:c>
      <x:c r="L255" s="157" t="n">
        <x:v>3</x:v>
      </x:c>
      <x:c r="M255" s="157" t="str">
        <x:v>Manual Review</x:v>
      </x:c>
      <x:c r="N255" s="166" t="n">
        <x:v>1237195.27</x:v>
      </x:c>
      <x:c r="O255" s="157" t="n">
        <x:v>0</x:v>
      </x:c>
      <x:c r="P255" s="157" t="str">
        <x:v>test</x:v>
      </x:c>
    </x:row>
    <x:row r="256">
      <x:c r="A256" s="157" t="str">
        <x:v>L029812</x:v>
      </x:c>
      <x:c r="B256" s="165" t="n">
        <x:v>45200</x:v>
      </x:c>
      <x:c r="C256" s="157" t="str">
        <x:v>Telecom</x:v>
      </x:c>
      <x:c r="D256" s="157" t="str">
        <x:v>term_loan</x:v>
      </x:c>
      <x:c r="E256" s="157" t="str">
        <x:v>unsecured</x:v>
      </x:c>
      <x:c r="F256" s="157" t="str">
        <x:v>BBB</x:v>
      </x:c>
      <x:c r="G256" s="157" t="n">
        <x:v>735</x:v>
      </x:c>
      <x:c r="H256" s="166" t="n">
        <x:v>9161802.16</x:v>
      </x:c>
      <x:c r="I256" s="162" t="n">
        <x:v>0.7784</x:v>
      </x:c>
      <x:c r="J256" s="162" t="n">
        <x:v>0.173243</x:v>
      </x:c>
      <x:c r="K256" s="157" t="str">
        <x:v>High</x:v>
      </x:c>
      <x:c r="L256" s="157" t="n">
        <x:v>4</x:v>
      </x:c>
      <x:c r="M256" s="157" t="str">
        <x:v>Manual Review</x:v>
      </x:c>
      <x:c r="N256" s="166" t="n">
        <x:v>1235490.56</x:v>
      </x:c>
      <x:c r="O256" s="157" t="n">
        <x:v>0</x:v>
      </x:c>
      <x:c r="P256" s="157" t="str">
        <x:v>test</x:v>
      </x:c>
    </x:row>
    <x:row r="257">
      <x:c r="A257" s="157" t="str">
        <x:v>L046153</x:v>
      </x:c>
      <x:c r="B257" s="165" t="n">
        <x:v>45231</x:v>
      </x:c>
      <x:c r="C257" s="157" t="str">
        <x:v>Industrials</x:v>
      </x:c>
      <x:c r="D257" s="157" t="str">
        <x:v>term_loan</x:v>
      </x:c>
      <x:c r="E257" s="157" t="str">
        <x:v>secured</x:v>
      </x:c>
      <x:c r="F257" s="157" t="str">
        <x:v>CCC</x:v>
      </x:c>
      <x:c r="G257" s="157" t="n">
        <x:v>643</x:v>
      </x:c>
      <x:c r="H257" s="166" t="n">
        <x:v>6510041.25</x:v>
      </x:c>
      <x:c r="I257" s="162" t="n">
        <x:v>0.5156</x:v>
      </x:c>
      <x:c r="J257" s="162" t="n">
        <x:v>0.366068</x:v>
      </x:c>
      <x:c r="K257" s="157" t="str">
        <x:v>Very High</x:v>
      </x:c>
      <x:c r="L257" s="157" t="n">
        <x:v>1</x:v>
      </x:c>
      <x:c r="M257" s="157" t="str">
        <x:v>Manual Review</x:v>
      </x:c>
      <x:c r="N257" s="166" t="n">
        <x:v>1228735.53</x:v>
      </x:c>
      <x:c r="O257" s="157" t="n">
        <x:v>0</x:v>
      </x:c>
      <x:c r="P257" s="157" t="str">
        <x:v>test</x:v>
      </x:c>
    </x:row>
    <x:row r="258">
      <x:c r="A258" s="157" t="str">
        <x:v>L024570</x:v>
      </x:c>
      <x:c r="B258" s="165" t="n">
        <x:v>45108</x:v>
      </x:c>
      <x:c r="C258" s="157" t="str">
        <x:v>Industrials</x:v>
      </x:c>
      <x:c r="D258" s="157" t="str">
        <x:v>revolving</x:v>
      </x:c>
      <x:c r="E258" s="157" t="str">
        <x:v>secured</x:v>
      </x:c>
      <x:c r="F258" s="157" t="str">
        <x:v>AA</x:v>
      </x:c>
      <x:c r="G258" s="157" t="n">
        <x:v>740</x:v>
      </x:c>
      <x:c r="H258" s="166" t="n">
        <x:v>10212724</x:v>
      </x:c>
      <x:c r="I258" s="162" t="n">
        <x:v>0.6681</x:v>
      </x:c>
      <x:c r="J258" s="162" t="n">
        <x:v>0.178815</x:v>
      </x:c>
      <x:c r="K258" s="157" t="str">
        <x:v>High</x:v>
      </x:c>
      <x:c r="L258" s="157" t="n">
        <x:v>4</x:v>
      </x:c>
      <x:c r="M258" s="157" t="str">
        <x:v>Manual Review</x:v>
      </x:c>
      <x:c r="N258" s="166" t="n">
        <x:v>1220076.36</x:v>
      </x:c>
      <x:c r="O258" s="157" t="n">
        <x:v>0</x:v>
      </x:c>
      <x:c r="P258" s="157" t="str">
        <x:v>test</x:v>
      </x:c>
    </x:row>
    <x:row r="259">
      <x:c r="A259" s="157" t="str">
        <x:v>L017029</x:v>
      </x:c>
      <x:c r="B259" s="165" t="n">
        <x:v>44713</x:v>
      </x:c>
      <x:c r="C259" s="157" t="str">
        <x:v>Utilities</x:v>
      </x:c>
      <x:c r="D259" s="157" t="str">
        <x:v>bond</x:v>
      </x:c>
      <x:c r="E259" s="157" t="str">
        <x:v>unsecured</x:v>
      </x:c>
      <x:c r="F259" s="157" t="str">
        <x:v>CCC</x:v>
      </x:c>
      <x:c r="G259" s="157" t="n">
        <x:v>635</x:v>
      </x:c>
      <x:c r="H259" s="166" t="n">
        <x:v>4354760.09</x:v>
      </x:c>
      <x:c r="I259" s="162" t="n">
        <x:v>0.6695</x:v>
      </x:c>
      <x:c r="J259" s="162" t="n">
        <x:v>0.417825</x:v>
      </x:c>
      <x:c r="K259" s="157" t="str">
        <x:v>Very High</x:v>
      </x:c>
      <x:c r="L259" s="157" t="n">
        <x:v>1</x:v>
      </x:c>
      <x:c r="M259" s="157" t="str">
        <x:v>Manual Review</x:v>
      </x:c>
      <x:c r="N259" s="166" t="n">
        <x:v>1218173.75</x:v>
      </x:c>
      <x:c r="O259" s="157" t="n">
        <x:v>1</x:v>
      </x:c>
      <x:c r="P259" s="157" t="str">
        <x:v>test</x:v>
      </x:c>
    </x:row>
    <x:row r="260">
      <x:c r="A260" s="157" t="str">
        <x:v>L018779</x:v>
      </x:c>
      <x:c r="B260" s="165" t="n">
        <x:v>45047</x:v>
      </x:c>
      <x:c r="C260" s="157" t="str">
        <x:v>Healthcare</x:v>
      </x:c>
      <x:c r="D260" s="157" t="str">
        <x:v>revolving</x:v>
      </x:c>
      <x:c r="E260" s="157" t="str">
        <x:v>unsecured</x:v>
      </x:c>
      <x:c r="F260" s="157" t="str">
        <x:v>B</x:v>
      </x:c>
      <x:c r="G260" s="157" t="n">
        <x:v>639</x:v>
      </x:c>
      <x:c r="H260" s="166" t="n">
        <x:v>8635506.59</x:v>
      </x:c>
      <x:c r="I260" s="162" t="n">
        <x:v>0.6711</x:v>
      </x:c>
      <x:c r="J260" s="162" t="n">
        <x:v>0.209933</x:v>
      </x:c>
      <x:c r="K260" s="157" t="str">
        <x:v>High</x:v>
      </x:c>
      <x:c r="L260" s="157" t="n">
        <x:v>2</x:v>
      </x:c>
      <x:c r="M260" s="157" t="str">
        <x:v>Manual Review</x:v>
      </x:c>
      <x:c r="N260" s="166" t="n">
        <x:v>1216622.29</x:v>
      </x:c>
      <x:c r="O260" s="157" t="n">
        <x:v>0</x:v>
      </x:c>
      <x:c r="P260" s="157" t="str">
        <x:v>test</x:v>
      </x:c>
    </x:row>
    <x:row r="261">
      <x:c r="A261" s="157" t="str">
        <x:v>L039677</x:v>
      </x:c>
      <x:c r="B261" s="165" t="n">
        <x:v>44682</x:v>
      </x:c>
      <x:c r="C261" s="157" t="str">
        <x:v>Financials</x:v>
      </x:c>
      <x:c r="D261" s="157" t="str">
        <x:v>revolving</x:v>
      </x:c>
      <x:c r="E261" s="157" t="str">
        <x:v>secured</x:v>
      </x:c>
      <x:c r="F261" s="157" t="str">
        <x:v>CCC</x:v>
      </x:c>
      <x:c r="G261" s="157" t="n">
        <x:v>705</x:v>
      </x:c>
      <x:c r="H261" s="166" t="n">
        <x:v>8625077.46</x:v>
      </x:c>
      <x:c r="I261" s="162" t="n">
        <x:v>0.4314</x:v>
      </x:c>
      <x:c r="J261" s="162" t="n">
        <x:v>0.32618</x:v>
      </x:c>
      <x:c r="K261" s="157" t="str">
        <x:v>Very High</x:v>
      </x:c>
      <x:c r="L261" s="157" t="n">
        <x:v>1</x:v>
      </x:c>
      <x:c r="M261" s="157" t="str">
        <x:v>Manual Review</x:v>
      </x:c>
      <x:c r="N261" s="166" t="n">
        <x:v>1213669.6</x:v>
      </x:c>
      <x:c r="O261" s="157" t="n">
        <x:v>0</x:v>
      </x:c>
      <x:c r="P261" s="157" t="str">
        <x:v>test</x:v>
      </x:c>
    </x:row>
    <x:row r="262">
      <x:c r="A262" s="157" t="str">
        <x:v>L040634</x:v>
      </x:c>
      <x:c r="B262" s="165" t="n">
        <x:v>45078</x:v>
      </x:c>
      <x:c r="C262" s="157" t="str">
        <x:v>Technology</x:v>
      </x:c>
      <x:c r="D262" s="157" t="str">
        <x:v>term_loan</x:v>
      </x:c>
      <x:c r="E262" s="157" t="str">
        <x:v>unsecured</x:v>
      </x:c>
      <x:c r="F262" s="157" t="str">
        <x:v>CCC</x:v>
      </x:c>
      <x:c r="G262" s="157" t="n">
        <x:v>642</x:v>
      </x:c>
      <x:c r="H262" s="166" t="n">
        <x:v>4583550.76</x:v>
      </x:c>
      <x:c r="I262" s="162" t="n">
        <x:v>0.8652</x:v>
      </x:c>
      <x:c r="J262" s="162" t="n">
        <x:v>0.30548</x:v>
      </x:c>
      <x:c r="K262" s="157" t="str">
        <x:v>Very High</x:v>
      </x:c>
      <x:c r="L262" s="157" t="n">
        <x:v>1</x:v>
      </x:c>
      <x:c r="M262" s="157" t="str">
        <x:v>Manual Review</x:v>
      </x:c>
      <x:c r="N262" s="166" t="n">
        <x:v>1211438.41</x:v>
      </x:c>
      <x:c r="O262" s="157" t="n">
        <x:v>0</x:v>
      </x:c>
      <x:c r="P262" s="157" t="str">
        <x:v>test</x:v>
      </x:c>
    </x:row>
    <x:row r="263">
      <x:c r="A263" s="157" t="str">
        <x:v>L020528</x:v>
      </x:c>
      <x:c r="B263" s="165" t="n">
        <x:v>44927</x:v>
      </x:c>
      <x:c r="C263" s="157" t="str">
        <x:v>Telecom</x:v>
      </x:c>
      <x:c r="D263" s="157" t="str">
        <x:v>mortgage</x:v>
      </x:c>
      <x:c r="E263" s="157" t="str">
        <x:v>unsecured</x:v>
      </x:c>
      <x:c r="F263" s="157" t="str">
        <x:v>BB</x:v>
      </x:c>
      <x:c r="G263" s="157" t="n">
        <x:v>717</x:v>
      </x:c>
      <x:c r="H263" s="166" t="n">
        <x:v>10344195.15</x:v>
      </x:c>
      <x:c r="I263" s="162" t="n">
        <x:v>0.6165</x:v>
      </x:c>
      <x:c r="J263" s="162" t="n">
        <x:v>0.18911</x:v>
      </x:c>
      <x:c r="K263" s="157" t="str">
        <x:v>High</x:v>
      </x:c>
      <x:c r="L263" s="157" t="n">
        <x:v>3</x:v>
      </x:c>
      <x:c r="M263" s="157" t="str">
        <x:v>Manual Review</x:v>
      </x:c>
      <x:c r="N263" s="166" t="n">
        <x:v>1205991.59</x:v>
      </x:c>
      <x:c r="O263" s="157" t="n">
        <x:v>0</x:v>
      </x:c>
      <x:c r="P263" s="157" t="str">
        <x:v>test</x:v>
      </x:c>
    </x:row>
    <x:row r="264">
      <x:c r="A264" s="157" t="str">
        <x:v>L031869</x:v>
      </x:c>
      <x:c r="B264" s="165" t="n">
        <x:v>45017</x:v>
      </x:c>
      <x:c r="C264" s="157" t="str">
        <x:v>Real_Estate</x:v>
      </x:c>
      <x:c r="D264" s="157" t="str">
        <x:v>term_loan</x:v>
      </x:c>
      <x:c r="E264" s="157" t="str">
        <x:v>unsecured</x:v>
      </x:c>
      <x:c r="F264" s="157" t="str">
        <x:v>B</x:v>
      </x:c>
      <x:c r="G264" s="157" t="n">
        <x:v>699</x:v>
      </x:c>
      <x:c r="H264" s="166" t="n">
        <x:v>16168707.24</x:v>
      </x:c>
      <x:c r="I264" s="162" t="n">
        <x:v>0.3855</x:v>
      </x:c>
      <x:c r="J264" s="162" t="n">
        <x:v>0.193116</x:v>
      </x:c>
      <x:c r="K264" s="157" t="str">
        <x:v>High</x:v>
      </x:c>
      <x:c r="L264" s="157" t="n">
        <x:v>3</x:v>
      </x:c>
      <x:c r="M264" s="157" t="str">
        <x:v>Manual Review</x:v>
      </x:c>
      <x:c r="N264" s="166" t="n">
        <x:v>1203699.1</x:v>
      </x:c>
      <x:c r="O264" s="157" t="n">
        <x:v>0</x:v>
      </x:c>
      <x:c r="P264" s="157" t="str">
        <x:v>test</x:v>
      </x:c>
    </x:row>
    <x:row r="265">
      <x:c r="A265" s="157" t="str">
        <x:v>L023483</x:v>
      </x:c>
      <x:c r="B265" s="165" t="n">
        <x:v>45231</x:v>
      </x:c>
      <x:c r="C265" s="157" t="str">
        <x:v>Technology</x:v>
      </x:c>
      <x:c r="D265" s="157" t="str">
        <x:v>term_loan</x:v>
      </x:c>
      <x:c r="E265" s="157" t="str">
        <x:v>partially_secured</x:v>
      </x:c>
      <x:c r="F265" s="157" t="str">
        <x:v>B</x:v>
      </x:c>
      <x:c r="G265" s="157" t="n">
        <x:v>762</x:v>
      </x:c>
      <x:c r="H265" s="166" t="n">
        <x:v>7350099.99</x:v>
      </x:c>
      <x:c r="I265" s="162" t="n">
        <x:v>0.82</x:v>
      </x:c>
      <x:c r="J265" s="162" t="n">
        <x:v>0.199592</x:v>
      </x:c>
      <x:c r="K265" s="157" t="str">
        <x:v>High</x:v>
      </x:c>
      <x:c r="L265" s="157" t="n">
        <x:v>3</x:v>
      </x:c>
      <x:c r="M265" s="157" t="str">
        <x:v>Manual Review</x:v>
      </x:c>
      <x:c r="N265" s="166" t="n">
        <x:v>1202957.35</x:v>
      </x:c>
      <x:c r="O265" s="157" t="n">
        <x:v>0</x:v>
      </x:c>
      <x:c r="P265" s="157" t="str">
        <x:v>test</x:v>
      </x:c>
    </x:row>
    <x:row r="266">
      <x:c r="A266" s="157" t="str">
        <x:v>L008958</x:v>
      </x:c>
      <x:c r="B266" s="165" t="n">
        <x:v>44652</x:v>
      </x:c>
      <x:c r="C266" s="157" t="str">
        <x:v>Telecom</x:v>
      </x:c>
      <x:c r="D266" s="157" t="str">
        <x:v>term_loan</x:v>
      </x:c>
      <x:c r="E266" s="157" t="str">
        <x:v>secured</x:v>
      </x:c>
      <x:c r="F266" s="157" t="str">
        <x:v>BB</x:v>
      </x:c>
      <x:c r="G266" s="157" t="n">
        <x:v>664</x:v>
      </x:c>
      <x:c r="H266" s="166" t="n">
        <x:v>12120072.08</x:v>
      </x:c>
      <x:c r="I266" s="162" t="n">
        <x:v>0.4903</x:v>
      </x:c>
      <x:c r="J266" s="162" t="n">
        <x:v>0.201093</x:v>
      </x:c>
      <x:c r="K266" s="157" t="str">
        <x:v>High</x:v>
      </x:c>
      <x:c r="L266" s="157" t="n">
        <x:v>3</x:v>
      </x:c>
      <x:c r="M266" s="157" t="str">
        <x:v>Manual Review</x:v>
      </x:c>
      <x:c r="N266" s="166" t="n">
        <x:v>1194989.39</x:v>
      </x:c>
      <x:c r="O266" s="157" t="n">
        <x:v>0</x:v>
      </x:c>
      <x:c r="P266" s="157" t="str">
        <x:v>test</x:v>
      </x:c>
    </x:row>
    <x:row r="267">
      <x:c r="A267" s="157" t="str">
        <x:v>L001162</x:v>
      </x:c>
      <x:c r="B267" s="165" t="n">
        <x:v>45078</x:v>
      </x:c>
      <x:c r="C267" s="157" t="str">
        <x:v>Utilities</x:v>
      </x:c>
      <x:c r="D267" s="157" t="str">
        <x:v>term_loan</x:v>
      </x:c>
      <x:c r="E267" s="157" t="str">
        <x:v>unsecured</x:v>
      </x:c>
      <x:c r="F267" s="157" t="str">
        <x:v>CCC</x:v>
      </x:c>
      <x:c r="G267" s="157" t="n">
        <x:v>633</x:v>
      </x:c>
      <x:c r="H267" s="166" t="n">
        <x:v>7558705.27</x:v>
      </x:c>
      <x:c r="I267" s="162" t="n">
        <x:v>0.6314</x:v>
      </x:c>
      <x:c r="J267" s="162" t="n">
        <x:v>0.250032</x:v>
      </x:c>
      <x:c r="K267" s="157" t="str">
        <x:v>High</x:v>
      </x:c>
      <x:c r="L267" s="157" t="n">
        <x:v>2</x:v>
      </x:c>
      <x:c r="M267" s="157" t="str">
        <x:v>Manual Review</x:v>
      </x:c>
      <x:c r="N267" s="166" t="n">
        <x:v>1193294.35</x:v>
      </x:c>
      <x:c r="O267" s="157" t="n">
        <x:v>0</x:v>
      </x:c>
      <x:c r="P267" s="157" t="str">
        <x:v>test</x:v>
      </x:c>
    </x:row>
    <x:row r="268">
      <x:c r="A268" s="157" t="str">
        <x:v>L023105</x:v>
      </x:c>
      <x:c r="B268" s="165" t="n">
        <x:v>44621</x:v>
      </x:c>
      <x:c r="C268" s="157" t="str">
        <x:v>Telecom</x:v>
      </x:c>
      <x:c r="D268" s="157" t="str">
        <x:v>revolving</x:v>
      </x:c>
      <x:c r="E268" s="157" t="str">
        <x:v>unsecured</x:v>
      </x:c>
      <x:c r="F268" s="157" t="str">
        <x:v>CCC</x:v>
      </x:c>
      <x:c r="G268" s="157" t="n">
        <x:v>665</x:v>
      </x:c>
      <x:c r="H268" s="166" t="n">
        <x:v>4594757.86</x:v>
      </x:c>
      <x:c r="I268" s="162" t="n">
        <x:v>0.6944</x:v>
      </x:c>
      <x:c r="J268" s="162" t="n">
        <x:v>0.373263</x:v>
      </x:c>
      <x:c r="K268" s="157" t="str">
        <x:v>Very High</x:v>
      </x:c>
      <x:c r="L268" s="157" t="n">
        <x:v>1</x:v>
      </x:c>
      <x:c r="M268" s="157" t="str">
        <x:v>Manual Review</x:v>
      </x:c>
      <x:c r="N268" s="166" t="n">
        <x:v>1190932.87</x:v>
      </x:c>
      <x:c r="O268" s="157" t="n">
        <x:v>1</x:v>
      </x:c>
      <x:c r="P268" s="157" t="str">
        <x:v>test</x:v>
      </x:c>
    </x:row>
    <x:row r="269">
      <x:c r="A269" s="157" t="str">
        <x:v>L025858</x:v>
      </x:c>
      <x:c r="B269" s="165" t="n">
        <x:v>45170</x:v>
      </x:c>
      <x:c r="C269" s="157" t="str">
        <x:v>Healthcare</x:v>
      </x:c>
      <x:c r="D269" s="157" t="str">
        <x:v>term_loan</x:v>
      </x:c>
      <x:c r="E269" s="157" t="str">
        <x:v>secured</x:v>
      </x:c>
      <x:c r="F269" s="157" t="str">
        <x:v>CCC</x:v>
      </x:c>
      <x:c r="G269" s="157" t="n">
        <x:v>674</x:v>
      </x:c>
      <x:c r="H269" s="166" t="n">
        <x:v>7666923.58</x:v>
      </x:c>
      <x:c r="I269" s="162" t="n">
        <x:v>0.4018</x:v>
      </x:c>
      <x:c r="J269" s="162" t="n">
        <x:v>0.386387</x:v>
      </x:c>
      <x:c r="K269" s="157" t="str">
        <x:v>Very High</x:v>
      </x:c>
      <x:c r="L269" s="157" t="n">
        <x:v>1</x:v>
      </x:c>
      <x:c r="M269" s="157" t="str">
        <x:v>Manual Review</x:v>
      </x:c>
      <x:c r="N269" s="166" t="n">
        <x:v>1190292.16</x:v>
      </x:c>
      <x:c r="O269" s="157" t="n">
        <x:v>0</x:v>
      </x:c>
      <x:c r="P269" s="157" t="str">
        <x:v>test</x:v>
      </x:c>
    </x:row>
    <x:row r="270">
      <x:c r="A270" s="157" t="str">
        <x:v>L013822</x:v>
      </x:c>
      <x:c r="B270" s="165" t="n">
        <x:v>45047</x:v>
      </x:c>
      <x:c r="C270" s="157" t="str">
        <x:v>Telecom</x:v>
      </x:c>
      <x:c r="D270" s="157" t="str">
        <x:v>term_loan</x:v>
      </x:c>
      <x:c r="E270" s="157" t="str">
        <x:v>unsecured</x:v>
      </x:c>
      <x:c r="F270" s="157" t="str">
        <x:v>B</x:v>
      </x:c>
      <x:c r="G270" s="157" t="n">
        <x:v>637</x:v>
      </x:c>
      <x:c r="H270" s="166" t="n">
        <x:v>12302895.62</x:v>
      </x:c>
      <x:c r="I270" s="162" t="n">
        <x:v>0.4748</x:v>
      </x:c>
      <x:c r="J270" s="162" t="n">
        <x:v>0.203714</x:v>
      </x:c>
      <x:c r="K270" s="157" t="str">
        <x:v>High</x:v>
      </x:c>
      <x:c r="L270" s="157" t="n">
        <x:v>2</x:v>
      </x:c>
      <x:c r="M270" s="157" t="str">
        <x:v>Manual Review</x:v>
      </x:c>
      <x:c r="N270" s="166" t="n">
        <x:v>1189977.98</x:v>
      </x:c>
      <x:c r="O270" s="157" t="n">
        <x:v>0</x:v>
      </x:c>
      <x:c r="P270" s="157" t="str">
        <x:v>test</x:v>
      </x:c>
    </x:row>
    <x:row r="271">
      <x:c r="A271" s="157" t="str">
        <x:v>L027270</x:v>
      </x:c>
      <x:c r="B271" s="165" t="n">
        <x:v>45139</x:v>
      </x:c>
      <x:c r="C271" s="157" t="str">
        <x:v>Financials</x:v>
      </x:c>
      <x:c r="D271" s="157" t="str">
        <x:v>mortgage</x:v>
      </x:c>
      <x:c r="E271" s="157" t="str">
        <x:v>unsecured</x:v>
      </x:c>
      <x:c r="F271" s="157" t="str">
        <x:v>CCC</x:v>
      </x:c>
      <x:c r="G271" s="157" t="n">
        <x:v>632</x:v>
      </x:c>
      <x:c r="H271" s="166" t="n">
        <x:v>5227016.72</x:v>
      </x:c>
      <x:c r="I271" s="162" t="n">
        <x:v>0.553</x:v>
      </x:c>
      <x:c r="J271" s="162" t="n">
        <x:v>0.409064</x:v>
      </x:c>
      <x:c r="K271" s="157" t="str">
        <x:v>Very High</x:v>
      </x:c>
      <x:c r="L271" s="157" t="n">
        <x:v>1</x:v>
      </x:c>
      <x:c r="M271" s="157" t="str">
        <x:v>Manual Review</x:v>
      </x:c>
      <x:c r="N271" s="166" t="n">
        <x:v>1182415.96</x:v>
      </x:c>
      <x:c r="O271" s="157" t="n">
        <x:v>1</x:v>
      </x:c>
      <x:c r="P271" s="157" t="str">
        <x:v>test</x:v>
      </x:c>
    </x:row>
    <x:row r="272">
      <x:c r="A272" s="157" t="str">
        <x:v>L041647</x:v>
      </x:c>
      <x:c r="B272" s="165" t="n">
        <x:v>45170</x:v>
      </x:c>
      <x:c r="C272" s="157" t="str">
        <x:v>Utilities</x:v>
      </x:c>
      <x:c r="D272" s="157" t="str">
        <x:v>bond</x:v>
      </x:c>
      <x:c r="E272" s="157" t="str">
        <x:v>partially_secured</x:v>
      </x:c>
      <x:c r="F272" s="157" t="str">
        <x:v>BB</x:v>
      </x:c>
      <x:c r="G272" s="157" t="n">
        <x:v>695</x:v>
      </x:c>
      <x:c r="H272" s="166" t="n">
        <x:v>10825789.5</x:v>
      </x:c>
      <x:c r="I272" s="162" t="n">
        <x:v>0.5707</x:v>
      </x:c>
      <x:c r="J272" s="162" t="n">
        <x:v>0.189498</x:v>
      </x:c>
      <x:c r="K272" s="157" t="str">
        <x:v>High</x:v>
      </x:c>
      <x:c r="L272" s="157" t="n">
        <x:v>3</x:v>
      </x:c>
      <x:c r="M272" s="157" t="str">
        <x:v>Manual Review</x:v>
      </x:c>
      <x:c r="N272" s="166" t="n">
        <x:v>1170771.34</x:v>
      </x:c>
      <x:c r="O272" s="157" t="n">
        <x:v>0</x:v>
      </x:c>
      <x:c r="P272" s="157" t="str">
        <x:v>test</x:v>
      </x:c>
    </x:row>
    <x:row r="273">
      <x:c r="A273" s="157" t="str">
        <x:v>L008551</x:v>
      </x:c>
      <x:c r="B273" s="165" t="n">
        <x:v>44774</x:v>
      </x:c>
      <x:c r="C273" s="157" t="str">
        <x:v>Technology</x:v>
      </x:c>
      <x:c r="D273" s="157" t="str">
        <x:v>mortgage</x:v>
      </x:c>
      <x:c r="E273" s="157" t="str">
        <x:v>secured</x:v>
      </x:c>
      <x:c r="F273" s="157" t="str">
        <x:v>CCC</x:v>
      </x:c>
      <x:c r="G273" s="157" t="n">
        <x:v>624</x:v>
      </x:c>
      <x:c r="H273" s="166" t="n">
        <x:v>5054431.15</x:v>
      </x:c>
      <x:c r="I273" s="162" t="n">
        <x:v>0.5714</x:v>
      </x:c>
      <x:c r="J273" s="162" t="n">
        <x:v>0.401956</x:v>
      </x:c>
      <x:c r="K273" s="157" t="str">
        <x:v>Very High</x:v>
      </x:c>
      <x:c r="L273" s="157" t="n">
        <x:v>1</x:v>
      </x:c>
      <x:c r="M273" s="157" t="str">
        <x:v>Manual Review</x:v>
      </x:c>
      <x:c r="N273" s="166" t="n">
        <x:v>1160889.91</x:v>
      </x:c>
      <x:c r="O273" s="157" t="n">
        <x:v>1</x:v>
      </x:c>
      <x:c r="P273" s="157" t="str">
        <x:v>test</x:v>
      </x:c>
    </x:row>
    <x:row r="274">
      <x:c r="A274" s="157" t="str">
        <x:v>L032036</x:v>
      </x:c>
      <x:c r="B274" s="165" t="n">
        <x:v>44958</x:v>
      </x:c>
      <x:c r="C274" s="157" t="str">
        <x:v>Telecom</x:v>
      </x:c>
      <x:c r="D274" s="157" t="str">
        <x:v>term_loan</x:v>
      </x:c>
      <x:c r="E274" s="157" t="str">
        <x:v>unsecured</x:v>
      </x:c>
      <x:c r="F274" s="157" t="str">
        <x:v>CCC</x:v>
      </x:c>
      <x:c r="G274" s="157" t="n">
        <x:v>673</x:v>
      </x:c>
      <x:c r="H274" s="166" t="n">
        <x:v>5620253.1</x:v>
      </x:c>
      <x:c r="I274" s="162" t="n">
        <x:v>0.5799</x:v>
      </x:c>
      <x:c r="J274" s="162" t="n">
        <x:v>0.355502</x:v>
      </x:c>
      <x:c r="K274" s="157" t="str">
        <x:v>Very High</x:v>
      </x:c>
      <x:c r="L274" s="157" t="n">
        <x:v>1</x:v>
      </x:c>
      <x:c r="M274" s="157" t="str">
        <x:v>Manual Review</x:v>
      </x:c>
      <x:c r="N274" s="166" t="n">
        <x:v>1158646.71</x:v>
      </x:c>
      <x:c r="O274" s="157" t="n">
        <x:v>0</x:v>
      </x:c>
      <x:c r="P274" s="157" t="str">
        <x:v>test</x:v>
      </x:c>
    </x:row>
    <x:row r="275">
      <x:c r="A275" s="157" t="str">
        <x:v>L043472</x:v>
      </x:c>
      <x:c r="B275" s="165" t="n">
        <x:v>44593</x:v>
      </x:c>
      <x:c r="C275" s="157" t="str">
        <x:v>Utilities</x:v>
      </x:c>
      <x:c r="D275" s="157" t="str">
        <x:v>bond</x:v>
      </x:c>
      <x:c r="E275" s="157" t="str">
        <x:v>unsecured</x:v>
      </x:c>
      <x:c r="F275" s="157" t="str">
        <x:v>CCC</x:v>
      </x:c>
      <x:c r="G275" s="157" t="n">
        <x:v>705</x:v>
      </x:c>
      <x:c r="H275" s="166" t="n">
        <x:v>6342376.82</x:v>
      </x:c>
      <x:c r="I275" s="162" t="n">
        <x:v>0.5495</x:v>
      </x:c>
      <x:c r="J275" s="162" t="n">
        <x:v>0.332411</x:v>
      </x:c>
      <x:c r="K275" s="157" t="str">
        <x:v>Very High</x:v>
      </x:c>
      <x:c r="L275" s="157" t="n">
        <x:v>1</x:v>
      </x:c>
      <x:c r="M275" s="157" t="str">
        <x:v>Manual Review</x:v>
      </x:c>
      <x:c r="N275" s="166" t="n">
        <x:v>1158497.56</x:v>
      </x:c>
      <x:c r="O275" s="157" t="n">
        <x:v>0</x:v>
      </x:c>
      <x:c r="P275" s="157" t="str">
        <x:v>test</x:v>
      </x:c>
    </x:row>
    <x:row r="276">
      <x:c r="A276" s="157" t="str">
        <x:v>L030006</x:v>
      </x:c>
      <x:c r="B276" s="165" t="n">
        <x:v>45108</x:v>
      </x:c>
      <x:c r="C276" s="157" t="str">
        <x:v>Financials</x:v>
      </x:c>
      <x:c r="D276" s="157" t="str">
        <x:v>term_loan</x:v>
      </x:c>
      <x:c r="E276" s="157" t="str">
        <x:v>partially_secured</x:v>
      </x:c>
      <x:c r="F276" s="157" t="str">
        <x:v>B</x:v>
      </x:c>
      <x:c r="G276" s="157" t="n">
        <x:v>687</x:v>
      </x:c>
      <x:c r="H276" s="166" t="n">
        <x:v>7030699.85</x:v>
      </x:c>
      <x:c r="I276" s="162" t="n">
        <x:v>0.6785</x:v>
      </x:c>
      <x:c r="J276" s="162" t="n">
        <x:v>0.242575</x:v>
      </x:c>
      <x:c r="K276" s="157" t="str">
        <x:v>High</x:v>
      </x:c>
      <x:c r="L276" s="157" t="n">
        <x:v>2</x:v>
      </x:c>
      <x:c r="M276" s="157" t="str">
        <x:v>Manual Review</x:v>
      </x:c>
      <x:c r="N276" s="166" t="n">
        <x:v>1157162.76</x:v>
      </x:c>
      <x:c r="O276" s="157" t="n">
        <x:v>0</x:v>
      </x:c>
      <x:c r="P276" s="157" t="str">
        <x:v>test</x:v>
      </x:c>
    </x:row>
    <x:row r="277">
      <x:c r="A277" s="157" t="str">
        <x:v>L044036</x:v>
      </x:c>
      <x:c r="B277" s="165" t="n">
        <x:v>44866</x:v>
      </x:c>
      <x:c r="C277" s="157" t="str">
        <x:v>Real_Estate</x:v>
      </x:c>
      <x:c r="D277" s="157" t="str">
        <x:v>revolving</x:v>
      </x:c>
      <x:c r="E277" s="157" t="str">
        <x:v>unsecured</x:v>
      </x:c>
      <x:c r="F277" s="157" t="str">
        <x:v>CCC</x:v>
      </x:c>
      <x:c r="G277" s="157" t="n">
        <x:v>658</x:v>
      </x:c>
      <x:c r="H277" s="166" t="n">
        <x:v>5522402.97</x:v>
      </x:c>
      <x:c r="I277" s="162" t="n">
        <x:v>0.5655</x:v>
      </x:c>
      <x:c r="J277" s="162" t="n">
        <x:v>0.370268</x:v>
      </x:c>
      <x:c r="K277" s="157" t="str">
        <x:v>Very High</x:v>
      </x:c>
      <x:c r="L277" s="157" t="n">
        <x:v>1</x:v>
      </x:c>
      <x:c r="M277" s="157" t="str">
        <x:v>Manual Review</x:v>
      </x:c>
      <x:c r="N277" s="166" t="n">
        <x:v>1156316.93</x:v>
      </x:c>
      <x:c r="O277" s="157" t="n">
        <x:v>1</x:v>
      </x:c>
      <x:c r="P277" s="157" t="str">
        <x:v>test</x:v>
      </x:c>
    </x:row>
    <x:row r="278">
      <x:c r="A278" s="157" t="str">
        <x:v>L038227</x:v>
      </x:c>
      <x:c r="B278" s="165" t="n">
        <x:v>45078</x:v>
      </x:c>
      <x:c r="C278" s="157" t="str">
        <x:v>Technology</x:v>
      </x:c>
      <x:c r="D278" s="157" t="str">
        <x:v>term_loan</x:v>
      </x:c>
      <x:c r="E278" s="157" t="str">
        <x:v>unsecured</x:v>
      </x:c>
      <x:c r="F278" s="157" t="str">
        <x:v>BB</x:v>
      </x:c>
      <x:c r="G278" s="157" t="n">
        <x:v>753</x:v>
      </x:c>
      <x:c r="H278" s="166" t="n">
        <x:v>8268879.06</x:v>
      </x:c>
      <x:c r="I278" s="162" t="n">
        <x:v>0.7635</x:v>
      </x:c>
      <x:c r="J278" s="162" t="n">
        <x:v>0.183136</x:v>
      </x:c>
      <x:c r="K278" s="157" t="str">
        <x:v>High</x:v>
      </x:c>
      <x:c r="L278" s="157" t="n">
        <x:v>3</x:v>
      </x:c>
      <x:c r="M278" s="157" t="str">
        <x:v>Manual Review</x:v>
      </x:c>
      <x:c r="N278" s="166" t="n">
        <x:v>1156190.52</x:v>
      </x:c>
      <x:c r="O278" s="157" t="n">
        <x:v>0</x:v>
      </x:c>
      <x:c r="P278" s="157" t="str">
        <x:v>test</x:v>
      </x:c>
    </x:row>
    <x:row r="279">
      <x:c r="A279" s="157" t="str">
        <x:v>L009105</x:v>
      </x:c>
      <x:c r="B279" s="165" t="n">
        <x:v>44774</x:v>
      </x:c>
      <x:c r="C279" s="157" t="str">
        <x:v>Telecom</x:v>
      </x:c>
      <x:c r="D279" s="157" t="str">
        <x:v>term_loan</x:v>
      </x:c>
      <x:c r="E279" s="157" t="str">
        <x:v>partially_secured</x:v>
      </x:c>
      <x:c r="F279" s="157" t="str">
        <x:v>CCC</x:v>
      </x:c>
      <x:c r="G279" s="157" t="n">
        <x:v>630</x:v>
      </x:c>
      <x:c r="H279" s="166" t="n">
        <x:v>4104798.03</x:v>
      </x:c>
      <x:c r="I279" s="162" t="n">
        <x:v>0.616</x:v>
      </x:c>
      <x:c r="J279" s="162" t="n">
        <x:v>0.455987</x:v>
      </x:c>
      <x:c r="K279" s="157" t="str">
        <x:v>Very High</x:v>
      </x:c>
      <x:c r="L279" s="157" t="n">
        <x:v>1</x:v>
      </x:c>
      <x:c r="M279" s="157" t="str">
        <x:v>Manual Review</x:v>
      </x:c>
      <x:c r="N279" s="166" t="n">
        <x:v>1152988.48</x:v>
      </x:c>
      <x:c r="O279" s="157" t="n">
        <x:v>1</x:v>
      </x:c>
      <x:c r="P279" s="157" t="str">
        <x:v>test</x:v>
      </x:c>
    </x:row>
    <x:row r="280">
      <x:c r="A280" s="157" t="str">
        <x:v>L016325</x:v>
      </x:c>
      <x:c r="B280" s="165" t="n">
        <x:v>44652</x:v>
      </x:c>
      <x:c r="C280" s="157" t="str">
        <x:v>Energy</x:v>
      </x:c>
      <x:c r="D280" s="157" t="str">
        <x:v>revolving</x:v>
      </x:c>
      <x:c r="E280" s="157" t="str">
        <x:v>partially_secured</x:v>
      </x:c>
      <x:c r="F280" s="157" t="str">
        <x:v>CCC</x:v>
      </x:c>
      <x:c r="G280" s="157" t="n">
        <x:v>647</x:v>
      </x:c>
      <x:c r="H280" s="166" t="n">
        <x:v>4285536.5</x:v>
      </x:c>
      <x:c r="I280" s="162" t="n">
        <x:v>0.6259</x:v>
      </x:c>
      <x:c r="J280" s="162" t="n">
        <x:v>0.429371</x:v>
      </x:c>
      <x:c r="K280" s="157" t="str">
        <x:v>Very High</x:v>
      </x:c>
      <x:c r="L280" s="157" t="n">
        <x:v>1</x:v>
      </x:c>
      <x:c r="M280" s="157" t="str">
        <x:v>Manual Review</x:v>
      </x:c>
      <x:c r="N280" s="166" t="n">
        <x:v>1151709.26</x:v>
      </x:c>
      <x:c r="O280" s="157" t="n">
        <x:v>0</x:v>
      </x:c>
      <x:c r="P280" s="157" t="str">
        <x:v>test</x:v>
      </x:c>
    </x:row>
    <x:row r="281">
      <x:c r="A281" s="157" t="str">
        <x:v>L010126</x:v>
      </x:c>
      <x:c r="B281" s="165" t="n">
        <x:v>44713</x:v>
      </x:c>
      <x:c r="C281" s="157" t="str">
        <x:v>Technology</x:v>
      </x:c>
      <x:c r="D281" s="157" t="str">
        <x:v>term_loan</x:v>
      </x:c>
      <x:c r="E281" s="157" t="str">
        <x:v>partially_secured</x:v>
      </x:c>
      <x:c r="F281" s="157" t="str">
        <x:v>CCC</x:v>
      </x:c>
      <x:c r="G281" s="157" t="n">
        <x:v>643</x:v>
      </x:c>
      <x:c r="H281" s="166" t="n">
        <x:v>4060757.07</x:v>
      </x:c>
      <x:c r="I281" s="162" t="n">
        <x:v>0.6883</x:v>
      </x:c>
      <x:c r="J281" s="162" t="n">
        <x:v>0.41035</x:v>
      </x:c>
      <x:c r="K281" s="157" t="str">
        <x:v>Very High</x:v>
      </x:c>
      <x:c r="L281" s="157" t="n">
        <x:v>1</x:v>
      </x:c>
      <x:c r="M281" s="157" t="str">
        <x:v>Manual Review</x:v>
      </x:c>
      <x:c r="N281" s="166" t="n">
        <x:v>1146936.08</x:v>
      </x:c>
      <x:c r="O281" s="157" t="n">
        <x:v>0</x:v>
      </x:c>
      <x:c r="P281" s="157" t="str">
        <x:v>test</x:v>
      </x:c>
    </x:row>
    <x:row r="282">
      <x:c r="A282" s="157" t="str">
        <x:v>L040907</x:v>
      </x:c>
      <x:c r="B282" s="165" t="n">
        <x:v>45261</x:v>
      </x:c>
      <x:c r="C282" s="157" t="str">
        <x:v>Industrials</x:v>
      </x:c>
      <x:c r="D282" s="157" t="str">
        <x:v>mortgage</x:v>
      </x:c>
      <x:c r="E282" s="157" t="str">
        <x:v>partially_secured</x:v>
      </x:c>
      <x:c r="F282" s="157" t="str">
        <x:v>CCC</x:v>
      </x:c>
      <x:c r="G282" s="157" t="n">
        <x:v>669</x:v>
      </x:c>
      <x:c r="H282" s="166" t="n">
        <x:v>4000099.22</x:v>
      </x:c>
      <x:c r="I282" s="162" t="n">
        <x:v>0.6208</x:v>
      </x:c>
      <x:c r="J282" s="162" t="n">
        <x:v>0.454266</x:v>
      </x:c>
      <x:c r="K282" s="157" t="str">
        <x:v>Very High</x:v>
      </x:c>
      <x:c r="L282" s="157" t="n">
        <x:v>1</x:v>
      </x:c>
      <x:c r="M282" s="157" t="str">
        <x:v>Manual Review</x:v>
      </x:c>
      <x:c r="N282" s="166" t="n">
        <x:v>1128061.31</x:v>
      </x:c>
      <x:c r="O282" s="157" t="n">
        <x:v>0</x:v>
      </x:c>
      <x:c r="P282" s="157" t="str">
        <x:v>test</x:v>
      </x:c>
    </x:row>
    <x:row r="283">
      <x:c r="A283" s="157" t="str">
        <x:v>L029660</x:v>
      </x:c>
      <x:c r="B283" s="165" t="n">
        <x:v>44562</x:v>
      </x:c>
      <x:c r="C283" s="157" t="str">
        <x:v>Real_Estate</x:v>
      </x:c>
      <x:c r="D283" s="157" t="str">
        <x:v>revolving</x:v>
      </x:c>
      <x:c r="E283" s="157" t="str">
        <x:v>partially_secured</x:v>
      </x:c>
      <x:c r="F283" s="157" t="str">
        <x:v>CCC</x:v>
      </x:c>
      <x:c r="G283" s="157" t="n">
        <x:v>706</x:v>
      </x:c>
      <x:c r="H283" s="166" t="n">
        <x:v>6279522.33</x:v>
      </x:c>
      <x:c r="I283" s="162" t="n">
        <x:v>0.6547</x:v>
      </x:c>
      <x:c r="J283" s="162" t="n">
        <x:v>0.274217</x:v>
      </x:c>
      <x:c r="K283" s="157" t="str">
        <x:v>High</x:v>
      </x:c>
      <x:c r="L283" s="157" t="n">
        <x:v>1</x:v>
      </x:c>
      <x:c r="M283" s="157" t="str">
        <x:v>Manual Review</x:v>
      </x:c>
      <x:c r="N283" s="166" t="n">
        <x:v>1127361.83</x:v>
      </x:c>
      <x:c r="O283" s="157" t="n">
        <x:v>0</x:v>
      </x:c>
      <x:c r="P283" s="157" t="str">
        <x:v>test</x:v>
      </x:c>
    </x:row>
    <x:row r="284">
      <x:c r="A284" s="157" t="str">
        <x:v>L002816</x:v>
      </x:c>
      <x:c r="B284" s="165" t="n">
        <x:v>44621</x:v>
      </x:c>
      <x:c r="C284" s="157" t="str">
        <x:v>Energy</x:v>
      </x:c>
      <x:c r="D284" s="157" t="str">
        <x:v>lease</x:v>
      </x:c>
      <x:c r="E284" s="157" t="str">
        <x:v>unsecured</x:v>
      </x:c>
      <x:c r="F284" s="157" t="str">
        <x:v>BB</x:v>
      </x:c>
      <x:c r="G284" s="157" t="n">
        <x:v>711</x:v>
      </x:c>
      <x:c r="H284" s="166" t="n">
        <x:v>8508869.44</x:v>
      </x:c>
      <x:c r="I284" s="162" t="n">
        <x:v>0.7391</x:v>
      </x:c>
      <x:c r="J284" s="162" t="n">
        <x:v>0.177793</x:v>
      </x:c>
      <x:c r="K284" s="157" t="str">
        <x:v>High</x:v>
      </x:c>
      <x:c r="L284" s="157" t="n">
        <x:v>4</x:v>
      </x:c>
      <x:c r="M284" s="157" t="str">
        <x:v>Manual Review</x:v>
      </x:c>
      <x:c r="N284" s="166" t="n">
        <x:v>1118123.36</x:v>
      </x:c>
      <x:c r="O284" s="157" t="n">
        <x:v>0</x:v>
      </x:c>
      <x:c r="P284" s="157" t="str">
        <x:v>test</x:v>
      </x:c>
    </x:row>
    <x:row r="285">
      <x:c r="A285" s="157" t="str">
        <x:v>L016786</x:v>
      </x:c>
      <x:c r="B285" s="165" t="n">
        <x:v>44621</x:v>
      </x:c>
      <x:c r="C285" s="157" t="str">
        <x:v>Technology</x:v>
      </x:c>
      <x:c r="D285" s="157" t="str">
        <x:v>term_loan</x:v>
      </x:c>
      <x:c r="E285" s="157" t="str">
        <x:v>unsecured</x:v>
      </x:c>
      <x:c r="F285" s="157" t="str">
        <x:v>CCC</x:v>
      </x:c>
      <x:c r="G285" s="157" t="n">
        <x:v>639</x:v>
      </x:c>
      <x:c r="H285" s="166" t="n">
        <x:v>4373603.32</x:v>
      </x:c>
      <x:c r="I285" s="162" t="n">
        <x:v>0.6509</x:v>
      </x:c>
      <x:c r="J285" s="162" t="n">
        <x:v>0.392293</x:v>
      </x:c>
      <x:c r="K285" s="157" t="str">
        <x:v>Very High</x:v>
      </x:c>
      <x:c r="L285" s="157" t="n">
        <x:v>1</x:v>
      </x:c>
      <x:c r="M285" s="157" t="str">
        <x:v>Manual Review</x:v>
      </x:c>
      <x:c r="N285" s="166" t="n">
        <x:v>1116771.24</x:v>
      </x:c>
      <x:c r="O285" s="157" t="n">
        <x:v>0</x:v>
      </x:c>
      <x:c r="P285" s="157" t="str">
        <x:v>test</x:v>
      </x:c>
    </x:row>
    <x:row r="286">
      <x:c r="A286" s="157" t="str">
        <x:v>L045165</x:v>
      </x:c>
      <x:c r="B286" s="165" t="n">
        <x:v>44652</x:v>
      </x:c>
      <x:c r="C286" s="157" t="str">
        <x:v>Utilities</x:v>
      </x:c>
      <x:c r="D286" s="157" t="str">
        <x:v>term_loan</x:v>
      </x:c>
      <x:c r="E286" s="157" t="str">
        <x:v>secured</x:v>
      </x:c>
      <x:c r="F286" s="157" t="str">
        <x:v>BB</x:v>
      </x:c>
      <x:c r="G286" s="157" t="n">
        <x:v>611</x:v>
      </x:c>
      <x:c r="H286" s="166" t="n">
        <x:v>11894146.05</x:v>
      </x:c>
      <x:c r="I286" s="162" t="n">
        <x:v>0.4942</x:v>
      </x:c>
      <x:c r="J286" s="162" t="n">
        <x:v>0.189661</x:v>
      </x:c>
      <x:c r="K286" s="157" t="str">
        <x:v>High</x:v>
      </x:c>
      <x:c r="L286" s="157" t="n">
        <x:v>3</x:v>
      </x:c>
      <x:c r="M286" s="157" t="str">
        <x:v>Manual Review</x:v>
      </x:c>
      <x:c r="N286" s="166" t="n">
        <x:v>1114843.85</x:v>
      </x:c>
      <x:c r="O286" s="157" t="n">
        <x:v>0</x:v>
      </x:c>
      <x:c r="P286" s="157" t="str">
        <x:v>test</x:v>
      </x:c>
    </x:row>
    <x:row r="287">
      <x:c r="A287" s="157" t="str">
        <x:v>L025006</x:v>
      </x:c>
      <x:c r="B287" s="165" t="n">
        <x:v>44621</x:v>
      </x:c>
      <x:c r="C287" s="157" t="str">
        <x:v>Technology</x:v>
      </x:c>
      <x:c r="D287" s="157" t="str">
        <x:v>bond</x:v>
      </x:c>
      <x:c r="E287" s="157" t="str">
        <x:v>unsecured</x:v>
      </x:c>
      <x:c r="F287" s="157" t="str">
        <x:v>B</x:v>
      </x:c>
      <x:c r="G287" s="157" t="n">
        <x:v>597</x:v>
      </x:c>
      <x:c r="H287" s="166" t="n">
        <x:v>5542341.17</x:v>
      </x:c>
      <x:c r="I287" s="162" t="n">
        <x:v>0.8752</x:v>
      </x:c>
      <x:c r="J287" s="162" t="n">
        <x:v>0.229343</x:v>
      </x:c>
      <x:c r="K287" s="157" t="str">
        <x:v>High</x:v>
      </x:c>
      <x:c r="L287" s="157" t="n">
        <x:v>2</x:v>
      </x:c>
      <x:c r="M287" s="157" t="str">
        <x:v>Manual Review</x:v>
      </x:c>
      <x:c r="N287" s="166" t="n">
        <x:v>1112464.23</x:v>
      </x:c>
      <x:c r="O287" s="157" t="n">
        <x:v>0</x:v>
      </x:c>
      <x:c r="P287" s="157" t="str">
        <x:v>test</x:v>
      </x:c>
    </x:row>
    <x:row r="288">
      <x:c r="A288" s="157" t="str">
        <x:v>L019052</x:v>
      </x:c>
      <x:c r="B288" s="165" t="n">
        <x:v>45017</x:v>
      </x:c>
      <x:c r="C288" s="157" t="str">
        <x:v>Telecom</x:v>
      </x:c>
      <x:c r="D288" s="157" t="str">
        <x:v>bond</x:v>
      </x:c>
      <x:c r="E288" s="157" t="str">
        <x:v>secured</x:v>
      </x:c>
      <x:c r="F288" s="157" t="str">
        <x:v>BB</x:v>
      </x:c>
      <x:c r="G288" s="157" t="n">
        <x:v>659</x:v>
      </x:c>
      <x:c r="H288" s="166" t="n">
        <x:v>15967130.97</x:v>
      </x:c>
      <x:c r="I288" s="162" t="n">
        <x:v>0.3979</x:v>
      </x:c>
      <x:c r="J288" s="162" t="n">
        <x:v>0.17433</x:v>
      </x:c>
      <x:c r="K288" s="157" t="str">
        <x:v>High</x:v>
      </x:c>
      <x:c r="L288" s="157" t="n">
        <x:v>4</x:v>
      </x:c>
      <x:c r="M288" s="157" t="str">
        <x:v>Manual Review</x:v>
      </x:c>
      <x:c r="N288" s="166" t="n">
        <x:v>1107574.52</x:v>
      </x:c>
      <x:c r="O288" s="157" t="n">
        <x:v>1</x:v>
      </x:c>
      <x:c r="P288" s="157" t="str">
        <x:v>test</x:v>
      </x:c>
    </x:row>
    <x:row r="289">
      <x:c r="A289" s="157" t="str">
        <x:v>L040166</x:v>
      </x:c>
      <x:c r="B289" s="165" t="n">
        <x:v>44986</x:v>
      </x:c>
      <x:c r="C289" s="157" t="str">
        <x:v>Real_Estate</x:v>
      </x:c>
      <x:c r="D289" s="157" t="str">
        <x:v>revolving</x:v>
      </x:c>
      <x:c r="E289" s="157" t="str">
        <x:v>unsecured</x:v>
      </x:c>
      <x:c r="F289" s="157" t="str">
        <x:v>BBB</x:v>
      </x:c>
      <x:c r="G289" s="157" t="n">
        <x:v>680</x:v>
      </x:c>
      <x:c r="H289" s="166" t="n">
        <x:v>11030374.72</x:v>
      </x:c>
      <x:c r="I289" s="162" t="n">
        <x:v>0.5504</x:v>
      </x:c>
      <x:c r="J289" s="162" t="n">
        <x:v>0.181956</x:v>
      </x:c>
      <x:c r="K289" s="157" t="str">
        <x:v>High</x:v>
      </x:c>
      <x:c r="L289" s="157" t="n">
        <x:v>3</x:v>
      </x:c>
      <x:c r="M289" s="157" t="str">
        <x:v>Manual Review</x:v>
      </x:c>
      <x:c r="N289" s="166" t="n">
        <x:v>1104676.39</x:v>
      </x:c>
      <x:c r="O289" s="157" t="n">
        <x:v>0</x:v>
      </x:c>
      <x:c r="P289" s="157" t="str">
        <x:v>test</x:v>
      </x:c>
    </x:row>
    <x:row r="290">
      <x:c r="A290" s="157" t="str">
        <x:v>L017685</x:v>
      </x:c>
      <x:c r="B290" s="165" t="n">
        <x:v>44927</x:v>
      </x:c>
      <x:c r="C290" s="157" t="str">
        <x:v>Industrials</x:v>
      </x:c>
      <x:c r="D290" s="157" t="str">
        <x:v>mortgage</x:v>
      </x:c>
      <x:c r="E290" s="157" t="str">
        <x:v>unsecured</x:v>
      </x:c>
      <x:c r="F290" s="157" t="str">
        <x:v>CCC</x:v>
      </x:c>
      <x:c r="G290" s="157" t="n">
        <x:v>612</x:v>
      </x:c>
      <x:c r="H290" s="166" t="n">
        <x:v>4999777.16</x:v>
      </x:c>
      <x:c r="I290" s="162" t="n">
        <x:v>0.5121</x:v>
      </x:c>
      <x:c r="J290" s="162" t="n">
        <x:v>0.430598</x:v>
      </x:c>
      <x:c r="K290" s="157" t="str">
        <x:v>Very High</x:v>
      </x:c>
      <x:c r="L290" s="157" t="n">
        <x:v>1</x:v>
      </x:c>
      <x:c r="M290" s="157" t="str">
        <x:v>Manual Review</x:v>
      </x:c>
      <x:c r="N290" s="166" t="n">
        <x:v>1102497.04</x:v>
      </x:c>
      <x:c r="O290" s="157" t="n">
        <x:v>1</x:v>
      </x:c>
      <x:c r="P290" s="157" t="str">
        <x:v>test</x:v>
      </x:c>
    </x:row>
    <x:row r="291">
      <x:c r="A291" s="157" t="str">
        <x:v>L043803</x:v>
      </x:c>
      <x:c r="B291" s="165" t="n">
        <x:v>44835</x:v>
      </x:c>
      <x:c r="C291" s="157" t="str">
        <x:v>Energy</x:v>
      </x:c>
      <x:c r="D291" s="157" t="str">
        <x:v>term_loan</x:v>
      </x:c>
      <x:c r="E291" s="157" t="str">
        <x:v>partially_secured</x:v>
      </x:c>
      <x:c r="F291" s="157" t="str">
        <x:v>BB</x:v>
      </x:c>
      <x:c r="G291" s="157" t="n">
        <x:v>632</x:v>
      </x:c>
      <x:c r="H291" s="166" t="n">
        <x:v>12129712.92</x:v>
      </x:c>
      <x:c r="I291" s="162" t="n">
        <x:v>0.4957</x:v>
      </x:c>
      <x:c r="J291" s="162" t="n">
        <x:v>0.182917</x:v>
      </x:c>
      <x:c r="K291" s="157" t="str">
        <x:v>High</x:v>
      </x:c>
      <x:c r="L291" s="157" t="n">
        <x:v>3</x:v>
      </x:c>
      <x:c r="M291" s="157" t="str">
        <x:v>Manual Review</x:v>
      </x:c>
      <x:c r="N291" s="166" t="n">
        <x:v>1099824.81</x:v>
      </x:c>
      <x:c r="O291" s="157" t="n">
        <x:v>0</x:v>
      </x:c>
      <x:c r="P291" s="157" t="str">
        <x:v>test</x:v>
      </x:c>
    </x:row>
    <x:row r="292">
      <x:c r="A292" s="157" t="str">
        <x:v>L048918</x:v>
      </x:c>
      <x:c r="B292" s="165" t="n">
        <x:v>44652</x:v>
      </x:c>
      <x:c r="C292" s="157" t="str">
        <x:v>Energy</x:v>
      </x:c>
      <x:c r="D292" s="157" t="str">
        <x:v>term_loan</x:v>
      </x:c>
      <x:c r="E292" s="157" t="str">
        <x:v>unsecured</x:v>
      </x:c>
      <x:c r="F292" s="157" t="str">
        <x:v>BB</x:v>
      </x:c>
      <x:c r="G292" s="157" t="n">
        <x:v>681</x:v>
      </x:c>
      <x:c r="H292" s="166" t="n">
        <x:v>8272720.55</x:v>
      </x:c>
      <x:c r="I292" s="162" t="n">
        <x:v>0.7195</x:v>
      </x:c>
      <x:c r="J292" s="162" t="n">
        <x:v>0.18465</x:v>
      </x:c>
      <x:c r="K292" s="157" t="str">
        <x:v>High</x:v>
      </x:c>
      <x:c r="L292" s="157" t="n">
        <x:v>3</x:v>
      </x:c>
      <x:c r="M292" s="157" t="str">
        <x:v>Manual Review</x:v>
      </x:c>
      <x:c r="N292" s="166" t="n">
        <x:v>1099077.87</x:v>
      </x:c>
      <x:c r="O292" s="157" t="n">
        <x:v>0</x:v>
      </x:c>
      <x:c r="P292" s="157" t="str">
        <x:v>test</x:v>
      </x:c>
    </x:row>
    <x:row r="293">
      <x:c r="A293" s="157" t="str">
        <x:v>L000987</x:v>
      </x:c>
      <x:c r="B293" s="165" t="n">
        <x:v>44835</x:v>
      </x:c>
      <x:c r="C293" s="157" t="str">
        <x:v>Utilities</x:v>
      </x:c>
      <x:c r="D293" s="157" t="str">
        <x:v>bond</x:v>
      </x:c>
      <x:c r="E293" s="157" t="str">
        <x:v>unsecured</x:v>
      </x:c>
      <x:c r="F293" s="157" t="str">
        <x:v>CCC</x:v>
      </x:c>
      <x:c r="G293" s="157" t="n">
        <x:v>659</x:v>
      </x:c>
      <x:c r="H293" s="166" t="n">
        <x:v>4847100.95</x:v>
      </x:c>
      <x:c r="I293" s="162" t="n">
        <x:v>0.5526</x:v>
      </x:c>
      <x:c r="J293" s="162" t="n">
        <x:v>0.410156</x:v>
      </x:c>
      <x:c r="K293" s="157" t="str">
        <x:v>Very High</x:v>
      </x:c>
      <x:c r="L293" s="157" t="n">
        <x:v>1</x:v>
      </x:c>
      <x:c r="M293" s="157" t="str">
        <x:v>Manual Review</x:v>
      </x:c>
      <x:c r="N293" s="166" t="n">
        <x:v>1098606.12</x:v>
      </x:c>
      <x:c r="O293" s="157" t="n">
        <x:v>0</x:v>
      </x:c>
      <x:c r="P293" s="157" t="str">
        <x:v>test</x:v>
      </x:c>
    </x:row>
    <x:row r="294">
      <x:c r="A294" s="157" t="str">
        <x:v>L049125</x:v>
      </x:c>
      <x:c r="B294" s="165" t="n">
        <x:v>45108</x:v>
      </x:c>
      <x:c r="C294" s="157" t="str">
        <x:v>Energy</x:v>
      </x:c>
      <x:c r="D294" s="157" t="str">
        <x:v>term_loan</x:v>
      </x:c>
      <x:c r="E294" s="157" t="str">
        <x:v>unsecured</x:v>
      </x:c>
      <x:c r="F294" s="157" t="str">
        <x:v>BB</x:v>
      </x:c>
      <x:c r="G294" s="157" t="n">
        <x:v>689</x:v>
      </x:c>
      <x:c r="H294" s="166" t="n">
        <x:v>9324046.26</x:v>
      </x:c>
      <x:c r="I294" s="162" t="n">
        <x:v>0.6792</x:v>
      </x:c>
      <x:c r="J294" s="162" t="n">
        <x:v>0.173451</x:v>
      </x:c>
      <x:c r="K294" s="157" t="str">
        <x:v>High</x:v>
      </x:c>
      <x:c r="L294" s="157" t="n">
        <x:v>4</x:v>
      </x:c>
      <x:c r="M294" s="157" t="str">
        <x:v>Manual Review</x:v>
      </x:c>
      <x:c r="N294" s="166" t="n">
        <x:v>1098446.49</x:v>
      </x:c>
      <x:c r="O294" s="157" t="n">
        <x:v>0</x:v>
      </x:c>
      <x:c r="P294" s="157" t="str">
        <x:v>test</x:v>
      </x:c>
    </x:row>
    <x:row r="295">
      <x:c r="A295" s="157" t="str">
        <x:v>L024519</x:v>
      </x:c>
      <x:c r="B295" s="165" t="n">
        <x:v>44805</x:v>
      </x:c>
      <x:c r="C295" s="157" t="str">
        <x:v>Telecom</x:v>
      </x:c>
      <x:c r="D295" s="157" t="str">
        <x:v>revolving</x:v>
      </x:c>
      <x:c r="E295" s="157" t="str">
        <x:v>unsecured</x:v>
      </x:c>
      <x:c r="F295" s="157" t="str">
        <x:v>B</x:v>
      </x:c>
      <x:c r="G295" s="157" t="n">
        <x:v>699</x:v>
      </x:c>
      <x:c r="H295" s="166" t="n">
        <x:v>8213591.82</x:v>
      </x:c>
      <x:c r="I295" s="162" t="n">
        <x:v>0.6488</x:v>
      </x:c>
      <x:c r="J295" s="162" t="n">
        <x:v>0.205465</x:v>
      </x:c>
      <x:c r="K295" s="157" t="str">
        <x:v>High</x:v>
      </x:c>
      <x:c r="L295" s="157" t="n">
        <x:v>2</x:v>
      </x:c>
      <x:c r="M295" s="157" t="str">
        <x:v>Manual Review</x:v>
      </x:c>
      <x:c r="N295" s="166" t="n">
        <x:v>1094918.54</x:v>
      </x:c>
      <x:c r="O295" s="157" t="n">
        <x:v>0</x:v>
      </x:c>
      <x:c r="P295" s="157" t="str">
        <x:v>test</x:v>
      </x:c>
    </x:row>
    <x:row r="296">
      <x:c r="A296" s="157" t="str">
        <x:v>L035276</x:v>
      </x:c>
      <x:c r="B296" s="165" t="n">
        <x:v>44835</x:v>
      </x:c>
      <x:c r="C296" s="157" t="str">
        <x:v>Financials</x:v>
      </x:c>
      <x:c r="D296" s="157" t="str">
        <x:v>lease</x:v>
      </x:c>
      <x:c r="E296" s="157" t="str">
        <x:v>unsecured</x:v>
      </x:c>
      <x:c r="F296" s="157" t="str">
        <x:v>CCC</x:v>
      </x:c>
      <x:c r="G296" s="157" t="n">
        <x:v>640</x:v>
      </x:c>
      <x:c r="H296" s="166" t="n">
        <x:v>4761280.08</x:v>
      </x:c>
      <x:c r="I296" s="162" t="n">
        <x:v>0.5209</x:v>
      </x:c>
      <x:c r="J296" s="162" t="n">
        <x:v>0.441405</x:v>
      </x:c>
      <x:c r="K296" s="157" t="str">
        <x:v>Very High</x:v>
      </x:c>
      <x:c r="L296" s="157" t="n">
        <x:v>1</x:v>
      </x:c>
      <x:c r="M296" s="157" t="str">
        <x:v>Manual Review</x:v>
      </x:c>
      <x:c r="N296" s="166" t="n">
        <x:v>1094750.96</x:v>
      </x:c>
      <x:c r="O296" s="157" t="n">
        <x:v>0</x:v>
      </x:c>
      <x:c r="P296" s="157" t="str">
        <x:v>test</x:v>
      </x:c>
    </x:row>
    <x:row r="297">
      <x:c r="A297" s="157" t="str">
        <x:v>L049918</x:v>
      </x:c>
      <x:c r="B297" s="165" t="n">
        <x:v>45108</x:v>
      </x:c>
      <x:c r="C297" s="157" t="str">
        <x:v>Technology</x:v>
      </x:c>
      <x:c r="D297" s="157" t="str">
        <x:v>mortgage</x:v>
      </x:c>
      <x:c r="E297" s="157" t="str">
        <x:v>secured</x:v>
      </x:c>
      <x:c r="F297" s="157" t="str">
        <x:v>B</x:v>
      </x:c>
      <x:c r="G297" s="157" t="n">
        <x:v>645</x:v>
      </x:c>
      <x:c r="H297" s="166" t="n">
        <x:v>9794318.31</x:v>
      </x:c>
      <x:c r="I297" s="162" t="n">
        <x:v>0.5262</x:v>
      </x:c>
      <x:c r="J297" s="162" t="n">
        <x:v>0.211793</x:v>
      </x:c>
      <x:c r="K297" s="157" t="str">
        <x:v>High</x:v>
      </x:c>
      <x:c r="L297" s="157" t="n">
        <x:v>2</x:v>
      </x:c>
      <x:c r="M297" s="157" t="str">
        <x:v>Manual Review</x:v>
      </x:c>
      <x:c r="N297" s="166" t="n">
        <x:v>1091532.47</x:v>
      </x:c>
      <x:c r="O297" s="157" t="n">
        <x:v>0</x:v>
      </x:c>
      <x:c r="P297" s="157" t="str">
        <x:v>test</x:v>
      </x:c>
    </x:row>
    <x:row r="298">
      <x:c r="A298" s="157" t="str">
        <x:v>L000738</x:v>
      </x:c>
      <x:c r="B298" s="165" t="n">
        <x:v>44835</x:v>
      </x:c>
      <x:c r="C298" s="157" t="str">
        <x:v>Financials</x:v>
      </x:c>
      <x:c r="D298" s="157" t="str">
        <x:v>bond</x:v>
      </x:c>
      <x:c r="E298" s="157" t="str">
        <x:v>secured</x:v>
      </x:c>
      <x:c r="F298" s="157" t="str">
        <x:v>A</x:v>
      </x:c>
      <x:c r="G298" s="157" t="n">
        <x:v>691</x:v>
      </x:c>
      <x:c r="H298" s="166" t="n">
        <x:v>12753945.53</x:v>
      </x:c>
      <x:c r="I298" s="162" t="n">
        <x:v>0.4393</x:v>
      </x:c>
      <x:c r="J298" s="162" t="n">
        <x:v>0.194327</x:v>
      </x:c>
      <x:c r="K298" s="157" t="str">
        <x:v>High</x:v>
      </x:c>
      <x:c r="L298" s="157" t="n">
        <x:v>3</x:v>
      </x:c>
      <x:c r="M298" s="157" t="str">
        <x:v>Manual Review</x:v>
      </x:c>
      <x:c r="N298" s="166" t="n">
        <x:v>1088776.92</x:v>
      </x:c>
      <x:c r="O298" s="157" t="n">
        <x:v>0</x:v>
      </x:c>
      <x:c r="P298" s="157" t="str">
        <x:v>test</x:v>
      </x:c>
    </x:row>
    <x:row r="299">
      <x:c r="A299" s="157" t="str">
        <x:v>L038024</x:v>
      </x:c>
      <x:c r="B299" s="165" t="n">
        <x:v>44927</x:v>
      </x:c>
      <x:c r="C299" s="157" t="str">
        <x:v>Industrials</x:v>
      </x:c>
      <x:c r="D299" s="157" t="str">
        <x:v>term_loan</x:v>
      </x:c>
      <x:c r="E299" s="157" t="str">
        <x:v>partially_secured</x:v>
      </x:c>
      <x:c r="F299" s="157" t="str">
        <x:v>BB</x:v>
      </x:c>
      <x:c r="G299" s="157" t="n">
        <x:v>727</x:v>
      </x:c>
      <x:c r="H299" s="166" t="n">
        <x:v>12674767.08</x:v>
      </x:c>
      <x:c r="I299" s="162" t="n">
        <x:v>0.4796</x:v>
      </x:c>
      <x:c r="J299" s="162" t="n">
        <x:v>0.178302</x:v>
      </x:c>
      <x:c r="K299" s="157" t="str">
        <x:v>High</x:v>
      </x:c>
      <x:c r="L299" s="157" t="n">
        <x:v>4</x:v>
      </x:c>
      <x:c r="M299" s="157" t="str">
        <x:v>Manual Review</x:v>
      </x:c>
      <x:c r="N299" s="166" t="n">
        <x:v>1083865.46</x:v>
      </x:c>
      <x:c r="O299" s="157" t="n">
        <x:v>0</x:v>
      </x:c>
      <x:c r="P299" s="157" t="str">
        <x:v>test</x:v>
      </x:c>
    </x:row>
    <x:row r="300">
      <x:c r="A300" s="157" t="str">
        <x:v>L034919</x:v>
      </x:c>
      <x:c r="B300" s="165" t="n">
        <x:v>44896</x:v>
      </x:c>
      <x:c r="C300" s="157" t="str">
        <x:v>Real_Estate</x:v>
      </x:c>
      <x:c r="D300" s="157" t="str">
        <x:v>term_loan</x:v>
      </x:c>
      <x:c r="E300" s="157" t="str">
        <x:v>unsecured</x:v>
      </x:c>
      <x:c r="F300" s="157" t="str">
        <x:v>BB</x:v>
      </x:c>
      <x:c r="G300" s="157" t="n">
        <x:v>678</x:v>
      </x:c>
      <x:c r="H300" s="166" t="n">
        <x:v>9675535.33</x:v>
      </x:c>
      <x:c r="I300" s="162" t="n">
        <x:v>0.5636</x:v>
      </x:c>
      <x:c r="J300" s="162" t="n">
        <x:v>0.198057</x:v>
      </x:c>
      <x:c r="K300" s="157" t="str">
        <x:v>High</x:v>
      </x:c>
      <x:c r="L300" s="157" t="n">
        <x:v>3</x:v>
      </x:c>
      <x:c r="M300" s="157" t="str">
        <x:v>Manual Review</x:v>
      </x:c>
      <x:c r="N300" s="166" t="n">
        <x:v>1080030.91</x:v>
      </x:c>
      <x:c r="O300" s="157" t="n">
        <x:v>1</x:v>
      </x:c>
      <x:c r="P300" s="157" t="str">
        <x:v>test</x:v>
      </x:c>
    </x:row>
    <x:row r="301">
      <x:c r="A301" s="157" t="str">
        <x:v>L011061</x:v>
      </x:c>
      <x:c r="B301" s="165" t="n">
        <x:v>44713</x:v>
      </x:c>
      <x:c r="C301" s="157" t="str">
        <x:v>Telecom</x:v>
      </x:c>
      <x:c r="D301" s="157" t="str">
        <x:v>term_loan</x:v>
      </x:c>
      <x:c r="E301" s="157" t="str">
        <x:v>secured</x:v>
      </x:c>
      <x:c r="F301" s="157" t="str">
        <x:v>CCC</x:v>
      </x:c>
      <x:c r="G301" s="157" t="n">
        <x:v>675</x:v>
      </x:c>
      <x:c r="H301" s="166" t="n">
        <x:v>5384250.75</x:v>
      </x:c>
      <x:c r="I301" s="162" t="n">
        <x:v>0.4486</x:v>
      </x:c>
      <x:c r="J301" s="162" t="n">
        <x:v>0.446676</x:v>
      </x:c>
      <x:c r="K301" s="157" t="str">
        <x:v>Very High</x:v>
      </x:c>
      <x:c r="L301" s="157" t="n">
        <x:v>1</x:v>
      </x:c>
      <x:c r="M301" s="157" t="str">
        <x:v>Manual Review</x:v>
      </x:c>
      <x:c r="N301" s="166" t="n">
        <x:v>1078889.99</x:v>
      </x:c>
      <x:c r="O301" s="157" t="n">
        <x:v>1</x:v>
      </x:c>
      <x:c r="P301" s="157" t="str">
        <x:v>test</x:v>
      </x:c>
    </x:row>
    <x:row r="302">
      <x:c r="A302" s="157" t="str">
        <x:v>L006607</x:v>
      </x:c>
      <x:c r="B302" s="165" t="n">
        <x:v>45017</x:v>
      </x:c>
      <x:c r="C302" s="157" t="str">
        <x:v>Utilities</x:v>
      </x:c>
      <x:c r="D302" s="157" t="str">
        <x:v>revolving</x:v>
      </x:c>
      <x:c r="E302" s="157" t="str">
        <x:v>partially_secured</x:v>
      </x:c>
      <x:c r="F302" s="157" t="str">
        <x:v>CCC</x:v>
      </x:c>
      <x:c r="G302" s="157" t="n">
        <x:v>614</x:v>
      </x:c>
      <x:c r="H302" s="166" t="n">
        <x:v>5206221.28</x:v>
      </x:c>
      <x:c r="I302" s="162" t="n">
        <x:v>0.4882</x:v>
      </x:c>
      <x:c r="J302" s="162" t="n">
        <x:v>0.424226</x:v>
      </x:c>
      <x:c r="K302" s="157" t="str">
        <x:v>Very High</x:v>
      </x:c>
      <x:c r="L302" s="157" t="n">
        <x:v>1</x:v>
      </x:c>
      <x:c r="M302" s="157" t="str">
        <x:v>Manual Review</x:v>
      </x:c>
      <x:c r="N302" s="166" t="n">
        <x:v>1078245.56</x:v>
      </x:c>
      <x:c r="O302" s="157" t="n">
        <x:v>1</x:v>
      </x:c>
      <x:c r="P302" s="157" t="str">
        <x:v>test</x:v>
      </x:c>
    </x:row>
    <x:row r="303">
      <x:c r="A303" s="157" t="str">
        <x:v>L015362</x:v>
      </x:c>
      <x:c r="B303" s="165" t="n">
        <x:v>45078</x:v>
      </x:c>
      <x:c r="C303" s="157" t="str">
        <x:v>Real_Estate</x:v>
      </x:c>
      <x:c r="D303" s="157" t="str">
        <x:v>term_loan</x:v>
      </x:c>
      <x:c r="E303" s="157" t="str">
        <x:v>secured</x:v>
      </x:c>
      <x:c r="F303" s="157" t="str">
        <x:v>BB</x:v>
      </x:c>
      <x:c r="G303" s="157" t="n">
        <x:v>709</x:v>
      </x:c>
      <x:c r="H303" s="166" t="n">
        <x:v>16847705.73</x:v>
      </x:c>
      <x:c r="I303" s="162" t="n">
        <x:v>0.3149</x:v>
      </x:c>
      <x:c r="J303" s="162" t="n">
        <x:v>0.202556</x:v>
      </x:c>
      <x:c r="K303" s="157" t="str">
        <x:v>High</x:v>
      </x:c>
      <x:c r="L303" s="157" t="n">
        <x:v>3</x:v>
      </x:c>
      <x:c r="M303" s="157" t="str">
        <x:v>Manual Review</x:v>
      </x:c>
      <x:c r="N303" s="166" t="n">
        <x:v>1074628.96</x:v>
      </x:c>
      <x:c r="O303" s="157" t="n">
        <x:v>0</x:v>
      </x:c>
      <x:c r="P303" s="157" t="str">
        <x:v>test</x:v>
      </x:c>
    </x:row>
    <x:row r="304">
      <x:c r="A304" s="157" t="str">
        <x:v>L041194</x:v>
      </x:c>
      <x:c r="B304" s="165" t="n">
        <x:v>45108</x:v>
      </x:c>
      <x:c r="C304" s="157" t="str">
        <x:v>Industrials</x:v>
      </x:c>
      <x:c r="D304" s="157" t="str">
        <x:v>term_loan</x:v>
      </x:c>
      <x:c r="E304" s="157" t="str">
        <x:v>partially_secured</x:v>
      </x:c>
      <x:c r="F304" s="157" t="str">
        <x:v>B</x:v>
      </x:c>
      <x:c r="G304" s="157" t="n">
        <x:v>652</x:v>
      </x:c>
      <x:c r="H304" s="166" t="n">
        <x:v>7117354.83</x:v>
      </x:c>
      <x:c r="I304" s="162" t="n">
        <x:v>0.555</x:v>
      </x:c>
      <x:c r="J304" s="162" t="n">
        <x:v>0.269784</x:v>
      </x:c>
      <x:c r="K304" s="157" t="str">
        <x:v>High</x:v>
      </x:c>
      <x:c r="L304" s="157" t="n">
        <x:v>1</x:v>
      </x:c>
      <x:c r="M304" s="157" t="str">
        <x:v>Manual Review</x:v>
      </x:c>
      <x:c r="N304" s="166" t="n">
        <x:v>1065682.39</x:v>
      </x:c>
      <x:c r="O304" s="157" t="n">
        <x:v>0</x:v>
      </x:c>
      <x:c r="P304" s="157" t="str">
        <x:v>test</x:v>
      </x:c>
    </x:row>
    <x:row r="305">
      <x:c r="A305" s="157" t="str">
        <x:v>L021583</x:v>
      </x:c>
      <x:c r="B305" s="165" t="n">
        <x:v>44743</x:v>
      </x:c>
      <x:c r="C305" s="157" t="str">
        <x:v>Real_Estate</x:v>
      </x:c>
      <x:c r="D305" s="157" t="str">
        <x:v>mortgage</x:v>
      </x:c>
      <x:c r="E305" s="157" t="str">
        <x:v>unsecured</x:v>
      </x:c>
      <x:c r="F305" s="157" t="str">
        <x:v>B</x:v>
      </x:c>
      <x:c r="G305" s="157" t="n">
        <x:v>616</x:v>
      </x:c>
      <x:c r="H305" s="166" t="n">
        <x:v>6770130.98</x:v>
      </x:c>
      <x:c r="I305" s="162" t="n">
        <x:v>0.706</x:v>
      </x:c>
      <x:c r="J305" s="162" t="n">
        <x:v>0.222646</x:v>
      </x:c>
      <x:c r="K305" s="157" t="str">
        <x:v>High</x:v>
      </x:c>
      <x:c r="L305" s="157" t="n">
        <x:v>2</x:v>
      </x:c>
      <x:c r="M305" s="157" t="str">
        <x:v>Manual Review</x:v>
      </x:c>
      <x:c r="N305" s="166" t="n">
        <x:v>1064183.86</x:v>
      </x:c>
      <x:c r="O305" s="157" t="n">
        <x:v>0</x:v>
      </x:c>
      <x:c r="P305" s="157" t="str">
        <x:v>test</x:v>
      </x:c>
    </x:row>
    <x:row r="306">
      <x:c r="A306" s="157" t="str">
        <x:v>L024458</x:v>
      </x:c>
      <x:c r="B306" s="165" t="n">
        <x:v>45017</x:v>
      </x:c>
      <x:c r="C306" s="157" t="str">
        <x:v>Real_Estate</x:v>
      </x:c>
      <x:c r="D306" s="157" t="str">
        <x:v>revolving</x:v>
      </x:c>
      <x:c r="E306" s="157" t="str">
        <x:v>secured</x:v>
      </x:c>
      <x:c r="F306" s="157" t="str">
        <x:v>CCC</x:v>
      </x:c>
      <x:c r="G306" s="157" t="n">
        <x:v>620</x:v>
      </x:c>
      <x:c r="H306" s="166" t="n">
        <x:v>9161792.83</x:v>
      </x:c>
      <x:c r="I306" s="162" t="n">
        <x:v>0.2872</x:v>
      </x:c>
      <x:c r="J306" s="162" t="n">
        <x:v>0.400982</x:v>
      </x:c>
      <x:c r="K306" s="157" t="str">
        <x:v>Very High</x:v>
      </x:c>
      <x:c r="L306" s="157" t="n">
        <x:v>1</x:v>
      </x:c>
      <x:c r="M306" s="157" t="str">
        <x:v>Manual Review</x:v>
      </x:c>
      <x:c r="N306" s="166" t="n">
        <x:v>1055090.66</x:v>
      </x:c>
      <x:c r="O306" s="157" t="n">
        <x:v>0</x:v>
      </x:c>
      <x:c r="P306" s="157" t="str">
        <x:v>test</x:v>
      </x:c>
    </x:row>
    <x:row r="307">
      <x:c r="A307" s="157" t="str">
        <x:v>L022345</x:v>
      </x:c>
      <x:c r="B307" s="165" t="n">
        <x:v>44621</x:v>
      </x:c>
      <x:c r="C307" s="157" t="str">
        <x:v>Retail</x:v>
      </x:c>
      <x:c r="D307" s="157" t="str">
        <x:v>mortgage</x:v>
      </x:c>
      <x:c r="E307" s="157" t="str">
        <x:v>unsecured</x:v>
      </x:c>
      <x:c r="F307" s="157" t="str">
        <x:v>B</x:v>
      </x:c>
      <x:c r="G307" s="157" t="n">
        <x:v>667</x:v>
      </x:c>
      <x:c r="H307" s="166" t="n">
        <x:v>5824434.15</x:v>
      </x:c>
      <x:c r="I307" s="162" t="n">
        <x:v>0.7916</x:v>
      </x:c>
      <x:c r="J307" s="162" t="n">
        <x:v>0.228289</x:v>
      </x:c>
      <x:c r="K307" s="157" t="str">
        <x:v>High</x:v>
      </x:c>
      <x:c r="L307" s="157" t="n">
        <x:v>2</x:v>
      </x:c>
      <x:c r="M307" s="157" t="str">
        <x:v>Manual Review</x:v>
      </x:c>
      <x:c r="N307" s="166" t="n">
        <x:v>1052554.3</x:v>
      </x:c>
      <x:c r="O307" s="157" t="n">
        <x:v>0</x:v>
      </x:c>
      <x:c r="P307" s="157" t="str">
        <x:v>test</x:v>
      </x:c>
    </x:row>
    <x:row r="308">
      <x:c r="A308" s="157" t="str">
        <x:v>L005512</x:v>
      </x:c>
      <x:c r="B308" s="165" t="n">
        <x:v>45078</x:v>
      </x:c>
      <x:c r="C308" s="157" t="str">
        <x:v>Industrials</x:v>
      </x:c>
      <x:c r="D308" s="157" t="str">
        <x:v>term_loan</x:v>
      </x:c>
      <x:c r="E308" s="157" t="str">
        <x:v>unsecured</x:v>
      </x:c>
      <x:c r="F308" s="157" t="str">
        <x:v>CCC</x:v>
      </x:c>
      <x:c r="G308" s="157" t="n">
        <x:v>677</x:v>
      </x:c>
      <x:c r="H308" s="166" t="n">
        <x:v>2873753.2</x:v>
      </x:c>
      <x:c r="I308" s="162" t="n">
        <x:v>0.9022</x:v>
      </x:c>
      <x:c r="J308" s="162" t="n">
        <x:v>0.405488</x:v>
      </x:c>
      <x:c r="K308" s="157" t="str">
        <x:v>Very High</x:v>
      </x:c>
      <x:c r="L308" s="157" t="n">
        <x:v>1</x:v>
      </x:c>
      <x:c r="M308" s="157" t="str">
        <x:v>Manual Review</x:v>
      </x:c>
      <x:c r="N308" s="166" t="n">
        <x:v>1051308.79</x:v>
      </x:c>
      <x:c r="O308" s="157" t="n">
        <x:v>0</x:v>
      </x:c>
      <x:c r="P308" s="157" t="str">
        <x:v>test</x:v>
      </x:c>
    </x:row>
    <x:row r="309">
      <x:c r="A309" s="157" t="str">
        <x:v>L024380</x:v>
      </x:c>
      <x:c r="B309" s="165" t="n">
        <x:v>45078</x:v>
      </x:c>
      <x:c r="C309" s="157" t="str">
        <x:v>Financials</x:v>
      </x:c>
      <x:c r="D309" s="157" t="str">
        <x:v>bond</x:v>
      </x:c>
      <x:c r="E309" s="157" t="str">
        <x:v>secured</x:v>
      </x:c>
      <x:c r="F309" s="157" t="str">
        <x:v>B</x:v>
      </x:c>
      <x:c r="G309" s="157" t="n">
        <x:v>724</x:v>
      </x:c>
      <x:c r="H309" s="166" t="n">
        <x:v>15405786.6</x:v>
      </x:c>
      <x:c r="I309" s="162" t="n">
        <x:v>0.3507</x:v>
      </x:c>
      <x:c r="J309" s="162" t="n">
        <x:v>0.193949</x:v>
      </x:c>
      <x:c r="K309" s="157" t="str">
        <x:v>High</x:v>
      </x:c>
      <x:c r="L309" s="157" t="n">
        <x:v>3</x:v>
      </x:c>
      <x:c r="M309" s="157" t="str">
        <x:v>Manual Review</x:v>
      </x:c>
      <x:c r="N309" s="166" t="n">
        <x:v>1047869.47</x:v>
      </x:c>
      <x:c r="O309" s="157" t="n">
        <x:v>0</x:v>
      </x:c>
      <x:c r="P309" s="157" t="str">
        <x:v>test</x:v>
      </x:c>
    </x:row>
    <x:row r="310">
      <x:c r="A310" s="157" t="str">
        <x:v>L032738</x:v>
      </x:c>
      <x:c r="B310" s="165" t="n">
        <x:v>44896</x:v>
      </x:c>
      <x:c r="C310" s="157" t="str">
        <x:v>Energy</x:v>
      </x:c>
      <x:c r="D310" s="157" t="str">
        <x:v>term_loan</x:v>
      </x:c>
      <x:c r="E310" s="157" t="str">
        <x:v>secured</x:v>
      </x:c>
      <x:c r="F310" s="157" t="str">
        <x:v>CCC</x:v>
      </x:c>
      <x:c r="G310" s="157" t="n">
        <x:v>629</x:v>
      </x:c>
      <x:c r="H310" s="166" t="n">
        <x:v>5153700.73</x:v>
      </x:c>
      <x:c r="I310" s="162" t="n">
        <x:v>0.5024</x:v>
      </x:c>
      <x:c r="J310" s="162" t="n">
        <x:v>0.404179</x:v>
      </x:c>
      <x:c r="K310" s="157" t="str">
        <x:v>Very High</x:v>
      </x:c>
      <x:c r="L310" s="157" t="n">
        <x:v>1</x:v>
      </x:c>
      <x:c r="M310" s="157" t="str">
        <x:v>Manual Review</x:v>
      </x:c>
      <x:c r="N310" s="166" t="n">
        <x:v>1046508.05</x:v>
      </x:c>
      <x:c r="O310" s="157" t="n">
        <x:v>0</x:v>
      </x:c>
      <x:c r="P310" s="157" t="str">
        <x:v>test</x:v>
      </x:c>
    </x:row>
    <x:row r="311">
      <x:c r="A311" s="157" t="str">
        <x:v>L031999</x:v>
      </x:c>
      <x:c r="B311" s="165" t="n">
        <x:v>45200</x:v>
      </x:c>
      <x:c r="C311" s="157" t="str">
        <x:v>Healthcare</x:v>
      </x:c>
      <x:c r="D311" s="157" t="str">
        <x:v>revolving</x:v>
      </x:c>
      <x:c r="E311" s="157" t="str">
        <x:v>unsecured</x:v>
      </x:c>
      <x:c r="F311" s="157" t="str">
        <x:v>CCC</x:v>
      </x:c>
      <x:c r="G311" s="157" t="n">
        <x:v>669</x:v>
      </x:c>
      <x:c r="H311" s="166" t="n">
        <x:v>5652352.9</x:v>
      </x:c>
      <x:c r="I311" s="162" t="n">
        <x:v>0.6688</x:v>
      </x:c>
      <x:c r="J311" s="162" t="n">
        <x:v>0.276348</x:v>
      </x:c>
      <x:c r="K311" s="157" t="str">
        <x:v>High</x:v>
      </x:c>
      <x:c r="L311" s="157" t="n">
        <x:v>1</x:v>
      </x:c>
      <x:c r="M311" s="157" t="str">
        <x:v>Manual Review</x:v>
      </x:c>
      <x:c r="N311" s="166" t="n">
        <x:v>1044676.58</x:v>
      </x:c>
      <x:c r="O311" s="157" t="n">
        <x:v>0</x:v>
      </x:c>
      <x:c r="P311" s="157" t="str">
        <x:v>test</x:v>
      </x:c>
    </x:row>
    <x:row r="312">
      <x:c r="A312" s="157" t="str">
        <x:v>L009546</x:v>
      </x:c>
      <x:c r="B312" s="165" t="n">
        <x:v>44927</x:v>
      </x:c>
      <x:c r="C312" s="157" t="str">
        <x:v>Real_Estate</x:v>
      </x:c>
      <x:c r="D312" s="157" t="str">
        <x:v>term_loan</x:v>
      </x:c>
      <x:c r="E312" s="157" t="str">
        <x:v>unsecured</x:v>
      </x:c>
      <x:c r="F312" s="157" t="str">
        <x:v>CCC</x:v>
      </x:c>
      <x:c r="G312" s="157" t="n">
        <x:v>617</x:v>
      </x:c>
      <x:c r="H312" s="166" t="n">
        <x:v>5854270.48</x:v>
      </x:c>
      <x:c r="I312" s="162" t="n">
        <x:v>0.5677</x:v>
      </x:c>
      <x:c r="J312" s="162" t="n">
        <x:v>0.314315</x:v>
      </x:c>
      <x:c r="K312" s="157" t="str">
        <x:v>Very High</x:v>
      </x:c>
      <x:c r="L312" s="157" t="n">
        <x:v>1</x:v>
      </x:c>
      <x:c r="M312" s="157" t="str">
        <x:v>Manual Review</x:v>
      </x:c>
      <x:c r="N312" s="166" t="n">
        <x:v>1044616.27</x:v>
      </x:c>
      <x:c r="O312" s="157" t="n">
        <x:v>0</x:v>
      </x:c>
      <x:c r="P312" s="157" t="str">
        <x:v>test</x:v>
      </x:c>
    </x:row>
    <x:row r="313">
      <x:c r="A313" s="157" t="str">
        <x:v>L045743</x:v>
      </x:c>
      <x:c r="B313" s="165" t="n">
        <x:v>44562</x:v>
      </x:c>
      <x:c r="C313" s="157" t="str">
        <x:v>Technology</x:v>
      </x:c>
      <x:c r="D313" s="157" t="str">
        <x:v>term_loan</x:v>
      </x:c>
      <x:c r="E313" s="157" t="str">
        <x:v>unsecured</x:v>
      </x:c>
      <x:c r="F313" s="157" t="str">
        <x:v>CCC</x:v>
      </x:c>
      <x:c r="G313" s="157" t="n">
        <x:v>692</x:v>
      </x:c>
      <x:c r="H313" s="166" t="n">
        <x:v>4811246.11</x:v>
      </x:c>
      <x:c r="I313" s="162" t="n">
        <x:v>0.7072</x:v>
      </x:c>
      <x:c r="J313" s="162" t="n">
        <x:v>0.306333</x:v>
      </x:c>
      <x:c r="K313" s="157" t="str">
        <x:v>Very High</x:v>
      </x:c>
      <x:c r="L313" s="157" t="n">
        <x:v>1</x:v>
      </x:c>
      <x:c r="M313" s="157" t="str">
        <x:v>Manual Review</x:v>
      </x:c>
      <x:c r="N313" s="166" t="n">
        <x:v>1042302.09</x:v>
      </x:c>
      <x:c r="O313" s="157" t="n">
        <x:v>1</x:v>
      </x:c>
      <x:c r="P313" s="157" t="str">
        <x:v>test</x:v>
      </x:c>
    </x:row>
    <x:row r="314">
      <x:c r="A314" s="157" t="str">
        <x:v>L048115</x:v>
      </x:c>
      <x:c r="B314" s="165" t="n">
        <x:v>45108</x:v>
      </x:c>
      <x:c r="C314" s="157" t="str">
        <x:v>Telecom</x:v>
      </x:c>
      <x:c r="D314" s="157" t="str">
        <x:v>term_loan</x:v>
      </x:c>
      <x:c r="E314" s="157" t="str">
        <x:v>secured</x:v>
      </x:c>
      <x:c r="F314" s="157" t="str">
        <x:v>CCC</x:v>
      </x:c>
      <x:c r="G314" s="157" t="n">
        <x:v>718</x:v>
      </x:c>
      <x:c r="H314" s="166" t="n">
        <x:v>5383067.65</x:v>
      </x:c>
      <x:c r="I314" s="162" t="n">
        <x:v>0.4817</x:v>
      </x:c>
      <x:c r="J314" s="162" t="n">
        <x:v>0.401525</x:v>
      </x:c>
      <x:c r="K314" s="157" t="str">
        <x:v>Very High</x:v>
      </x:c>
      <x:c r="L314" s="157" t="n">
        <x:v>1</x:v>
      </x:c>
      <x:c r="M314" s="157" t="str">
        <x:v>Manual Review</x:v>
      </x:c>
      <x:c r="N314" s="166" t="n">
        <x:v>1041163.84</x:v>
      </x:c>
      <x:c r="O314" s="157" t="n">
        <x:v>1</x:v>
      </x:c>
      <x:c r="P314" s="157" t="str">
        <x:v>test</x:v>
      </x:c>
    </x:row>
    <x:row r="315">
      <x:c r="A315" s="157" t="str">
        <x:v>L024267</x:v>
      </x:c>
      <x:c r="B315" s="165" t="n">
        <x:v>45139</x:v>
      </x:c>
      <x:c r="C315" s="157" t="str">
        <x:v>Financials</x:v>
      </x:c>
      <x:c r="D315" s="157" t="str">
        <x:v>term_loan</x:v>
      </x:c>
      <x:c r="E315" s="157" t="str">
        <x:v>unsecured</x:v>
      </x:c>
      <x:c r="F315" s="157" t="str">
        <x:v>CCC</x:v>
      </x:c>
      <x:c r="G315" s="157" t="n">
        <x:v>679</x:v>
      </x:c>
      <x:c r="H315" s="166" t="n">
        <x:v>3429458.21</x:v>
      </x:c>
      <x:c r="I315" s="162" t="n">
        <x:v>0.7246</x:v>
      </x:c>
      <x:c r="J315" s="162" t="n">
        <x:v>0.418686</x:v>
      </x:c>
      <x:c r="K315" s="157" t="str">
        <x:v>Very High</x:v>
      </x:c>
      <x:c r="L315" s="157" t="n">
        <x:v>1</x:v>
      </x:c>
      <x:c r="M315" s="157" t="str">
        <x:v>Manual Review</x:v>
      </x:c>
      <x:c r="N315" s="166" t="n">
        <x:v>1040428.61</x:v>
      </x:c>
      <x:c r="O315" s="157" t="n">
        <x:v>0</x:v>
      </x:c>
      <x:c r="P315" s="157" t="str">
        <x:v>test</x:v>
      </x:c>
    </x:row>
    <x:row r="316">
      <x:c r="A316" s="157" t="str">
        <x:v>L000636</x:v>
      </x:c>
      <x:c r="B316" s="165" t="n">
        <x:v>44927</x:v>
      </x:c>
      <x:c r="C316" s="157" t="str">
        <x:v>Healthcare</x:v>
      </x:c>
      <x:c r="D316" s="157" t="str">
        <x:v>term_loan</x:v>
      </x:c>
      <x:c r="E316" s="157" t="str">
        <x:v>partially_secured</x:v>
      </x:c>
      <x:c r="F316" s="157" t="str">
        <x:v>BB</x:v>
      </x:c>
      <x:c r="G316" s="157" t="n">
        <x:v>677</x:v>
      </x:c>
      <x:c r="H316" s="166" t="n">
        <x:v>10538521.03</x:v>
      </x:c>
      <x:c r="I316" s="162" t="n">
        <x:v>0.5245</x:v>
      </x:c>
      <x:c r="J316" s="162" t="n">
        <x:v>0.18725</x:v>
      </x:c>
      <x:c r="K316" s="157" t="str">
        <x:v>High</x:v>
      </x:c>
      <x:c r="L316" s="157" t="n">
        <x:v>3</x:v>
      </x:c>
      <x:c r="M316" s="157" t="str">
        <x:v>Manual Review</x:v>
      </x:c>
      <x:c r="N316" s="166" t="n">
        <x:v>1035015.81</x:v>
      </x:c>
      <x:c r="O316" s="157" t="n">
        <x:v>0</x:v>
      </x:c>
      <x:c r="P316" s="157" t="str">
        <x:v>test</x:v>
      </x:c>
    </x:row>
    <x:row r="317">
      <x:c r="A317" s="157" t="str">
        <x:v>L042431</x:v>
      </x:c>
      <x:c r="B317" s="165" t="n">
        <x:v>45108</x:v>
      </x:c>
      <x:c r="C317" s="157" t="str">
        <x:v>Real_Estate</x:v>
      </x:c>
      <x:c r="D317" s="157" t="str">
        <x:v>mortgage</x:v>
      </x:c>
      <x:c r="E317" s="157" t="str">
        <x:v>secured</x:v>
      </x:c>
      <x:c r="F317" s="157" t="str">
        <x:v>CCC</x:v>
      </x:c>
      <x:c r="G317" s="157" t="n">
        <x:v>627</x:v>
      </x:c>
      <x:c r="H317" s="166" t="n">
        <x:v>9927588.02</x:v>
      </x:c>
      <x:c r="I317" s="162" t="n">
        <x:v>0.3421</x:v>
      </x:c>
      <x:c r="J317" s="162" t="n">
        <x:v>0.304209</x:v>
      </x:c>
      <x:c r="K317" s="157" t="str">
        <x:v>Very High</x:v>
      </x:c>
      <x:c r="L317" s="157" t="n">
        <x:v>1</x:v>
      </x:c>
      <x:c r="M317" s="157" t="str">
        <x:v>Manual Review</x:v>
      </x:c>
      <x:c r="N317" s="166" t="n">
        <x:v>1033163.08</x:v>
      </x:c>
      <x:c r="O317" s="157" t="n">
        <x:v>1</x:v>
      </x:c>
      <x:c r="P317" s="157" t="str">
        <x:v>test</x:v>
      </x:c>
    </x:row>
    <x:row r="318">
      <x:c r="A318" s="157" t="str">
        <x:v>L011863</x:v>
      </x:c>
      <x:c r="B318" s="165" t="n">
        <x:v>44743</x:v>
      </x:c>
      <x:c r="C318" s="157" t="str">
        <x:v>Telecom</x:v>
      </x:c>
      <x:c r="D318" s="157" t="str">
        <x:v>mortgage</x:v>
      </x:c>
      <x:c r="E318" s="157" t="str">
        <x:v>secured</x:v>
      </x:c>
      <x:c r="F318" s="157" t="str">
        <x:v>CCC</x:v>
      </x:c>
      <x:c r="G318" s="157" t="n">
        <x:v>655</x:v>
      </x:c>
      <x:c r="H318" s="166" t="n">
        <x:v>6359321.66</x:v>
      </x:c>
      <x:c r="I318" s="162" t="n">
        <x:v>0.4702</x:v>
      </x:c>
      <x:c r="J318" s="162" t="n">
        <x:v>0.345107</x:v>
      </x:c>
      <x:c r="K318" s="157" t="str">
        <x:v>Very High</x:v>
      </x:c>
      <x:c r="L318" s="157" t="n">
        <x:v>1</x:v>
      </x:c>
      <x:c r="M318" s="157" t="str">
        <x:v>Manual Review</x:v>
      </x:c>
      <x:c r="N318" s="166" t="n">
        <x:v>1031922.75</x:v>
      </x:c>
      <x:c r="O318" s="157" t="n">
        <x:v>0</x:v>
      </x:c>
      <x:c r="P318" s="157" t="str">
        <x:v>test</x:v>
      </x:c>
    </x:row>
    <x:row r="319">
      <x:c r="A319" s="157" t="str">
        <x:v>L033710</x:v>
      </x:c>
      <x:c r="B319" s="165" t="n">
        <x:v>45078</x:v>
      </x:c>
      <x:c r="C319" s="157" t="str">
        <x:v>Healthcare</x:v>
      </x:c>
      <x:c r="D319" s="157" t="str">
        <x:v>mortgage</x:v>
      </x:c>
      <x:c r="E319" s="157" t="str">
        <x:v>unsecured</x:v>
      </x:c>
      <x:c r="F319" s="157" t="str">
        <x:v>BB</x:v>
      </x:c>
      <x:c r="G319" s="157" t="n">
        <x:v>700</x:v>
      </x:c>
      <x:c r="H319" s="166" t="n">
        <x:v>6980385.13</x:v>
      </x:c>
      <x:c r="I319" s="162" t="n">
        <x:v>0.7999</x:v>
      </x:c>
      <x:c r="J319" s="162" t="n">
        <x:v>0.184485</x:v>
      </x:c>
      <x:c r="K319" s="157" t="str">
        <x:v>High</x:v>
      </x:c>
      <x:c r="L319" s="157" t="n">
        <x:v>3</x:v>
      </x:c>
      <x:c r="M319" s="157" t="str">
        <x:v>Manual Review</x:v>
      </x:c>
      <x:c r="N319" s="166" t="n">
        <x:v>1030092.3</x:v>
      </x:c>
      <x:c r="O319" s="157" t="n">
        <x:v>0</x:v>
      </x:c>
      <x:c r="P319" s="157" t="str">
        <x:v>test</x:v>
      </x:c>
    </x:row>
    <x:row r="320">
      <x:c r="A320" s="157" t="str">
        <x:v>L021915</x:v>
      </x:c>
      <x:c r="B320" s="165" t="n">
        <x:v>45047</x:v>
      </x:c>
      <x:c r="C320" s="157" t="str">
        <x:v>Technology</x:v>
      </x:c>
      <x:c r="D320" s="157" t="str">
        <x:v>mortgage</x:v>
      </x:c>
      <x:c r="E320" s="157" t="str">
        <x:v>unsecured</x:v>
      </x:c>
      <x:c r="F320" s="157" t="str">
        <x:v>CCC</x:v>
      </x:c>
      <x:c r="G320" s="157" t="n">
        <x:v>649</x:v>
      </x:c>
      <x:c r="H320" s="166" t="n">
        <x:v>2893865.39</x:v>
      </x:c>
      <x:c r="I320" s="162" t="n">
        <x:v>0.8047</x:v>
      </x:c>
      <x:c r="J320" s="162" t="n">
        <x:v>0.44224</x:v>
      </x:c>
      <x:c r="K320" s="157" t="str">
        <x:v>Very High</x:v>
      </x:c>
      <x:c r="L320" s="157" t="n">
        <x:v>1</x:v>
      </x:c>
      <x:c r="M320" s="157" t="str">
        <x:v>Manual Review</x:v>
      </x:c>
      <x:c r="N320" s="166" t="n">
        <x:v>1029841.4</x:v>
      </x:c>
      <x:c r="O320" s="157" t="n">
        <x:v>0</x:v>
      </x:c>
      <x:c r="P320" s="157" t="str">
        <x:v>test</x:v>
      </x:c>
    </x:row>
    <x:row r="321">
      <x:c r="A321" s="157" t="str">
        <x:v>L014975</x:v>
      </x:c>
      <x:c r="B321" s="165" t="n">
        <x:v>44866</x:v>
      </x:c>
      <x:c r="C321" s="157" t="str">
        <x:v>Energy</x:v>
      </x:c>
      <x:c r="D321" s="157" t="str">
        <x:v>mortgage</x:v>
      </x:c>
      <x:c r="E321" s="157" t="str">
        <x:v>unsecured</x:v>
      </x:c>
      <x:c r="F321" s="157" t="str">
        <x:v>BB</x:v>
      </x:c>
      <x:c r="G321" s="157" t="n">
        <x:v>682</x:v>
      </x:c>
      <x:c r="H321" s="166" t="n">
        <x:v>7312193.43</x:v>
      </x:c>
      <x:c r="I321" s="162" t="n">
        <x:v>0.7099</x:v>
      </x:c>
      <x:c r="J321" s="162" t="n">
        <x:v>0.198279</x:v>
      </x:c>
      <x:c r="K321" s="157" t="str">
        <x:v>High</x:v>
      </x:c>
      <x:c r="L321" s="157" t="n">
        <x:v>3</x:v>
      </x:c>
      <x:c r="M321" s="157" t="str">
        <x:v>Manual Review</x:v>
      </x:c>
      <x:c r="N321" s="166" t="n">
        <x:v>1029251.64</x:v>
      </x:c>
      <x:c r="O321" s="157" t="n">
        <x:v>0</x:v>
      </x:c>
      <x:c r="P321" s="157" t="str">
        <x:v>test</x:v>
      </x:c>
    </x:row>
    <x:row r="322">
      <x:c r="A322" s="157" t="str">
        <x:v>L049363</x:v>
      </x:c>
      <x:c r="B322" s="165" t="n">
        <x:v>44652</x:v>
      </x:c>
      <x:c r="C322" s="157" t="str">
        <x:v>Financials</x:v>
      </x:c>
      <x:c r="D322" s="157" t="str">
        <x:v>term_loan</x:v>
      </x:c>
      <x:c r="E322" s="157" t="str">
        <x:v>secured</x:v>
      </x:c>
      <x:c r="F322" s="157" t="str">
        <x:v>B</x:v>
      </x:c>
      <x:c r="G322" s="157" t="n">
        <x:v>657</x:v>
      </x:c>
      <x:c r="H322" s="166" t="n">
        <x:v>7566639.41</x:v>
      </x:c>
      <x:c r="I322" s="162" t="n">
        <x:v>0.4433</x:v>
      </x:c>
      <x:c r="J322" s="162" t="n">
        <x:v>0.306293</x:v>
      </x:c>
      <x:c r="K322" s="157" t="str">
        <x:v>Very High</x:v>
      </x:c>
      <x:c r="L322" s="157" t="n">
        <x:v>1</x:v>
      </x:c>
      <x:c r="M322" s="157" t="str">
        <x:v>Manual Review</x:v>
      </x:c>
      <x:c r="N322" s="166" t="n">
        <x:v>1027395.93</x:v>
      </x:c>
      <x:c r="O322" s="157" t="n">
        <x:v>0</x:v>
      </x:c>
      <x:c r="P322" s="157" t="str">
        <x:v>test</x:v>
      </x:c>
    </x:row>
    <x:row r="323">
      <x:c r="A323" s="157" t="str">
        <x:v>L010607</x:v>
      </x:c>
      <x:c r="B323" s="165" t="n">
        <x:v>45231</x:v>
      </x:c>
      <x:c r="C323" s="157" t="str">
        <x:v>Telecom</x:v>
      </x:c>
      <x:c r="D323" s="157" t="str">
        <x:v>mortgage</x:v>
      </x:c>
      <x:c r="E323" s="157" t="str">
        <x:v>partially_secured</x:v>
      </x:c>
      <x:c r="F323" s="157" t="str">
        <x:v>CCC</x:v>
      </x:c>
      <x:c r="G323" s="157" t="n">
        <x:v>721</x:v>
      </x:c>
      <x:c r="H323" s="166" t="n">
        <x:v>4696642.84</x:v>
      </x:c>
      <x:c r="I323" s="162" t="n">
        <x:v>0.6186</x:v>
      </x:c>
      <x:c r="J323" s="162" t="n">
        <x:v>0.353484</x:v>
      </x:c>
      <x:c r="K323" s="157" t="str">
        <x:v>Very High</x:v>
      </x:c>
      <x:c r="L323" s="157" t="n">
        <x:v>1</x:v>
      </x:c>
      <x:c r="M323" s="157" t="str">
        <x:v>Manual Review</x:v>
      </x:c>
      <x:c r="N323" s="166" t="n">
        <x:v>1026992.36</x:v>
      </x:c>
      <x:c r="O323" s="157" t="n">
        <x:v>0</x:v>
      </x:c>
      <x:c r="P323" s="157" t="str">
        <x:v>test</x:v>
      </x:c>
    </x:row>
    <x:row r="324">
      <x:c r="A324" s="157" t="str">
        <x:v>L046272</x:v>
      </x:c>
      <x:c r="B324" s="165" t="n">
        <x:v>44774</x:v>
      </x:c>
      <x:c r="C324" s="157" t="str">
        <x:v>Telecom</x:v>
      </x:c>
      <x:c r="D324" s="157" t="str">
        <x:v>mortgage</x:v>
      </x:c>
      <x:c r="E324" s="157" t="str">
        <x:v>partially_secured</x:v>
      </x:c>
      <x:c r="F324" s="157" t="str">
        <x:v>BBB</x:v>
      </x:c>
      <x:c r="G324" s="157" t="n">
        <x:v>727</x:v>
      </x:c>
      <x:c r="H324" s="166" t="n">
        <x:v>8292112.29</x:v>
      </x:c>
      <x:c r="I324" s="162" t="n">
        <x:v>0.7169</x:v>
      </x:c>
      <x:c r="J324" s="162" t="n">
        <x:v>0.172677</x:v>
      </x:c>
      <x:c r="K324" s="157" t="str">
        <x:v>High</x:v>
      </x:c>
      <x:c r="L324" s="157" t="n">
        <x:v>4</x:v>
      </x:c>
      <x:c r="M324" s="157" t="str">
        <x:v>Manual Review</x:v>
      </x:c>
      <x:c r="N324" s="166" t="n">
        <x:v>1026498.34</x:v>
      </x:c>
      <x:c r="O324" s="157" t="n">
        <x:v>0</x:v>
      </x:c>
      <x:c r="P324" s="157" t="str">
        <x:v>test</x:v>
      </x:c>
    </x:row>
    <x:row r="325">
      <x:c r="A325" s="157" t="str">
        <x:v>L026012</x:v>
      </x:c>
      <x:c r="B325" s="165" t="n">
        <x:v>44835</x:v>
      </x:c>
      <x:c r="C325" s="157" t="str">
        <x:v>Real_Estate</x:v>
      </x:c>
      <x:c r="D325" s="157" t="str">
        <x:v>term_loan</x:v>
      </x:c>
      <x:c r="E325" s="157" t="str">
        <x:v>partially_secured</x:v>
      </x:c>
      <x:c r="F325" s="157" t="str">
        <x:v>CCC</x:v>
      </x:c>
      <x:c r="G325" s="157" t="n">
        <x:v>677</x:v>
      </x:c>
      <x:c r="H325" s="166" t="n">
        <x:v>3905023.45</x:v>
      </x:c>
      <x:c r="I325" s="162" t="n">
        <x:v>0.6076</x:v>
      </x:c>
      <x:c r="J325" s="162" t="n">
        <x:v>0.430648</x:v>
      </x:c>
      <x:c r="K325" s="157" t="str">
        <x:v>Very High</x:v>
      </x:c>
      <x:c r="L325" s="157" t="n">
        <x:v>1</x:v>
      </x:c>
      <x:c r="M325" s="157" t="str">
        <x:v>Manual Review</x:v>
      </x:c>
      <x:c r="N325" s="166" t="n">
        <x:v>1021795.17</x:v>
      </x:c>
      <x:c r="O325" s="157" t="n">
        <x:v>0</x:v>
      </x:c>
      <x:c r="P325" s="157" t="str">
        <x:v>test</x:v>
      </x:c>
    </x:row>
    <x:row r="326">
      <x:c r="A326" s="157" t="str">
        <x:v>L001374</x:v>
      </x:c>
      <x:c r="B326" s="165" t="n">
        <x:v>45108</x:v>
      </x:c>
      <x:c r="C326" s="157" t="str">
        <x:v>Financials</x:v>
      </x:c>
      <x:c r="D326" s="157" t="str">
        <x:v>mortgage</x:v>
      </x:c>
      <x:c r="E326" s="157" t="str">
        <x:v>secured</x:v>
      </x:c>
      <x:c r="F326" s="157" t="str">
        <x:v>B</x:v>
      </x:c>
      <x:c r="G326" s="157" t="n">
        <x:v>686</x:v>
      </x:c>
      <x:c r="H326" s="166" t="n">
        <x:v>8615637.06</x:v>
      </x:c>
      <x:c r="I326" s="162" t="n">
        <x:v>0.5027</x:v>
      </x:c>
      <x:c r="J326" s="162" t="n">
        <x:v>0.235751</x:v>
      </x:c>
      <x:c r="K326" s="157" t="str">
        <x:v>High</x:v>
      </x:c>
      <x:c r="L326" s="157" t="n">
        <x:v>2</x:v>
      </x:c>
      <x:c r="M326" s="157" t="str">
        <x:v>Manual Review</x:v>
      </x:c>
      <x:c r="N326" s="166" t="n">
        <x:v>1021056.62</x:v>
      </x:c>
      <x:c r="O326" s="157" t="n">
        <x:v>0</x:v>
      </x:c>
      <x:c r="P326" s="157" t="str">
        <x:v>test</x:v>
      </x:c>
    </x:row>
    <x:row r="327">
      <x:c r="A327" s="157" t="str">
        <x:v>L049619</x:v>
      </x:c>
      <x:c r="B327" s="165" t="n">
        <x:v>44896</x:v>
      </x:c>
      <x:c r="C327" s="157" t="str">
        <x:v>Utilities</x:v>
      </x:c>
      <x:c r="D327" s="157" t="str">
        <x:v>revolving</x:v>
      </x:c>
      <x:c r="E327" s="157" t="str">
        <x:v>unsecured</x:v>
      </x:c>
      <x:c r="F327" s="157" t="str">
        <x:v>CCC</x:v>
      </x:c>
      <x:c r="G327" s="157" t="n">
        <x:v>672</x:v>
      </x:c>
      <x:c r="H327" s="166" t="n">
        <x:v>3161383.3</x:v>
      </x:c>
      <x:c r="I327" s="162" t="n">
        <x:v>0.7245</x:v>
      </x:c>
      <x:c r="J327" s="162" t="n">
        <x:v>0.442721</x:v>
      </x:c>
      <x:c r="K327" s="157" t="str">
        <x:v>Very High</x:v>
      </x:c>
      <x:c r="L327" s="157" t="n">
        <x:v>1</x:v>
      </x:c>
      <x:c r="M327" s="157" t="str">
        <x:v>Manual Review</x:v>
      </x:c>
      <x:c r="N327" s="166" t="n">
        <x:v>1014018.01</x:v>
      </x:c>
      <x:c r="O327" s="157" t="n">
        <x:v>0</x:v>
      </x:c>
      <x:c r="P327" s="157" t="str">
        <x:v>test</x:v>
      </x:c>
    </x:row>
    <x:row r="328">
      <x:c r="A328" s="157" t="str">
        <x:v>L046713</x:v>
      </x:c>
      <x:c r="B328" s="165" t="n">
        <x:v>44927</x:v>
      </x:c>
      <x:c r="C328" s="157" t="str">
        <x:v>Utilities</x:v>
      </x:c>
      <x:c r="D328" s="157" t="str">
        <x:v>mortgage</x:v>
      </x:c>
      <x:c r="E328" s="157" t="str">
        <x:v>partially_secured</x:v>
      </x:c>
      <x:c r="F328" s="157" t="str">
        <x:v>BB</x:v>
      </x:c>
      <x:c r="G328" s="157" t="n">
        <x:v>679</x:v>
      </x:c>
      <x:c r="H328" s="166" t="n">
        <x:v>9814731.44</x:v>
      </x:c>
      <x:c r="I328" s="162" t="n">
        <x:v>0.492</x:v>
      </x:c>
      <x:c r="J328" s="162" t="n">
        <x:v>0.209788</x:v>
      </x:c>
      <x:c r="K328" s="157" t="str">
        <x:v>High</x:v>
      </x:c>
      <x:c r="L328" s="157" t="n">
        <x:v>2</x:v>
      </x:c>
      <x:c r="M328" s="157" t="str">
        <x:v>Manual Review</x:v>
      </x:c>
      <x:c r="N328" s="166" t="n">
        <x:v>1013034.34</x:v>
      </x:c>
      <x:c r="O328" s="157" t="n">
        <x:v>0</x:v>
      </x:c>
      <x:c r="P328" s="157" t="str">
        <x:v>test</x:v>
      </x:c>
    </x:row>
    <x:row r="329">
      <x:c r="A329" s="157" t="str">
        <x:v>L029847</x:v>
      </x:c>
      <x:c r="B329" s="165" t="n">
        <x:v>44621</x:v>
      </x:c>
      <x:c r="C329" s="157" t="str">
        <x:v>Consumer</x:v>
      </x:c>
      <x:c r="D329" s="157" t="str">
        <x:v>term_loan</x:v>
      </x:c>
      <x:c r="E329" s="157" t="str">
        <x:v>unsecured</x:v>
      </x:c>
      <x:c r="F329" s="157" t="str">
        <x:v>B</x:v>
      </x:c>
      <x:c r="G329" s="157" t="n">
        <x:v>672</x:v>
      </x:c>
      <x:c r="H329" s="166" t="n">
        <x:v>5937507.07</x:v>
      </x:c>
      <x:c r="I329" s="162" t="n">
        <x:v>0.8358</x:v>
      </x:c>
      <x:c r="J329" s="162" t="n">
        <x:v>0.203883</x:v>
      </x:c>
      <x:c r="K329" s="157" t="str">
        <x:v>High</x:v>
      </x:c>
      <x:c r="L329" s="157" t="n">
        <x:v>2</x:v>
      </x:c>
      <x:c r="M329" s="157" t="str">
        <x:v>Manual Review</x:v>
      </x:c>
      <x:c r="N329" s="166" t="n">
        <x:v>1011783.33</x:v>
      </x:c>
      <x:c r="O329" s="157" t="n">
        <x:v>0</x:v>
      </x:c>
      <x:c r="P329" s="157" t="str">
        <x:v>test</x:v>
      </x:c>
    </x:row>
    <x:row r="330">
      <x:c r="A330" s="157" t="str">
        <x:v>L026344</x:v>
      </x:c>
      <x:c r="B330" s="165" t="n">
        <x:v>44621</x:v>
      </x:c>
      <x:c r="C330" s="157" t="str">
        <x:v>Financials</x:v>
      </x:c>
      <x:c r="D330" s="157" t="str">
        <x:v>term_loan</x:v>
      </x:c>
      <x:c r="E330" s="157" t="str">
        <x:v>partially_secured</x:v>
      </x:c>
      <x:c r="F330" s="157" t="str">
        <x:v>BB</x:v>
      </x:c>
      <x:c r="G330" s="157" t="n">
        <x:v>718</x:v>
      </x:c>
      <x:c r="H330" s="166" t="n">
        <x:v>8407434.47</x:v>
      </x:c>
      <x:c r="I330" s="162" t="n">
        <x:v>0.6865</x:v>
      </x:c>
      <x:c r="J330" s="162" t="n">
        <x:v>0.175223</x:v>
      </x:c>
      <x:c r="K330" s="157" t="str">
        <x:v>High</x:v>
      </x:c>
      <x:c r="L330" s="157" t="n">
        <x:v>4</x:v>
      </x:c>
      <x:c r="M330" s="157" t="str">
        <x:v>Manual Review</x:v>
      </x:c>
      <x:c r="N330" s="166" t="n">
        <x:v>1011335.25</x:v>
      </x:c>
      <x:c r="O330" s="157" t="n">
        <x:v>0</x:v>
      </x:c>
      <x:c r="P330" s="157" t="str">
        <x:v>test</x:v>
      </x:c>
    </x:row>
    <x:row r="331">
      <x:c r="A331" s="157" t="str">
        <x:v>L028057</x:v>
      </x:c>
      <x:c r="B331" s="165" t="n">
        <x:v>44713</x:v>
      </x:c>
      <x:c r="C331" s="157" t="str">
        <x:v>Energy</x:v>
      </x:c>
      <x:c r="D331" s="157" t="str">
        <x:v>term_loan</x:v>
      </x:c>
      <x:c r="E331" s="157" t="str">
        <x:v>secured</x:v>
      </x:c>
      <x:c r="F331" s="157" t="str">
        <x:v>CCC</x:v>
      </x:c>
      <x:c r="G331" s="157" t="n">
        <x:v>654</x:v>
      </x:c>
      <x:c r="H331" s="166" t="n">
        <x:v>5352622.2</x:v>
      </x:c>
      <x:c r="I331" s="162" t="n">
        <x:v>0.433</x:v>
      </x:c>
      <x:c r="J331" s="162" t="n">
        <x:v>0.435436</x:v>
      </x:c>
      <x:c r="K331" s="157" t="str">
        <x:v>Very High</x:v>
      </x:c>
      <x:c r="L331" s="157" t="n">
        <x:v>1</x:v>
      </x:c>
      <x:c r="M331" s="157" t="str">
        <x:v>Manual Review</x:v>
      </x:c>
      <x:c r="N331" s="166" t="n">
        <x:v>1009203.67</x:v>
      </x:c>
      <x:c r="O331" s="157" t="n">
        <x:v>1</x:v>
      </x:c>
      <x:c r="P331" s="157" t="str">
        <x:v>test</x:v>
      </x:c>
    </x:row>
    <x:row r="332">
      <x:c r="A332" s="157" t="str">
        <x:v>L000178</x:v>
      </x:c>
      <x:c r="B332" s="165" t="n">
        <x:v>45108</x:v>
      </x:c>
      <x:c r="C332" s="157" t="str">
        <x:v>Utilities</x:v>
      </x:c>
      <x:c r="D332" s="157" t="str">
        <x:v>revolving</x:v>
      </x:c>
      <x:c r="E332" s="157" t="str">
        <x:v>partially_secured</x:v>
      </x:c>
      <x:c r="F332" s="157" t="str">
        <x:v>CCC</x:v>
      </x:c>
      <x:c r="G332" s="157" t="n">
        <x:v>649</x:v>
      </x:c>
      <x:c r="H332" s="166" t="n">
        <x:v>5916711.21</x:v>
      </x:c>
      <x:c r="I332" s="162" t="n">
        <x:v>0.4638</x:v>
      </x:c>
      <x:c r="J332" s="162" t="n">
        <x:v>0.366781</x:v>
      </x:c>
      <x:c r="K332" s="157" t="str">
        <x:v>Very High</x:v>
      </x:c>
      <x:c r="L332" s="157" t="n">
        <x:v>1</x:v>
      </x:c>
      <x:c r="M332" s="157" t="str">
        <x:v>Manual Review</x:v>
      </x:c>
      <x:c r="N332" s="166" t="n">
        <x:v>1006509.66</x:v>
      </x:c>
      <x:c r="O332" s="157" t="n">
        <x:v>0</x:v>
      </x:c>
      <x:c r="P332" s="157" t="str">
        <x:v>test</x:v>
      </x:c>
    </x:row>
    <x:row r="333">
      <x:c r="A333" s="157" t="str">
        <x:v>L011335</x:v>
      </x:c>
      <x:c r="B333" s="165" t="n">
        <x:v>44621</x:v>
      </x:c>
      <x:c r="C333" s="157" t="str">
        <x:v>Energy</x:v>
      </x:c>
      <x:c r="D333" s="157" t="str">
        <x:v>bond</x:v>
      </x:c>
      <x:c r="E333" s="157" t="str">
        <x:v>partially_secured</x:v>
      </x:c>
      <x:c r="F333" s="157" t="str">
        <x:v>BB</x:v>
      </x:c>
      <x:c r="G333" s="157" t="n">
        <x:v>688</x:v>
      </x:c>
      <x:c r="H333" s="166" t="n">
        <x:v>9560254.9</x:v>
      </x:c>
      <x:c r="I333" s="162" t="n">
        <x:v>0.5639</x:v>
      </x:c>
      <x:c r="J333" s="162" t="n">
        <x:v>0.18655</x:v>
      </x:c>
      <x:c r="K333" s="157" t="str">
        <x:v>High</x:v>
      </x:c>
      <x:c r="L333" s="157" t="n">
        <x:v>3</x:v>
      </x:c>
      <x:c r="M333" s="157" t="str">
        <x:v>Manual Review</x:v>
      </x:c>
      <x:c r="N333" s="166" t="n">
        <x:v>1005696.22</x:v>
      </x:c>
      <x:c r="O333" s="157" t="n">
        <x:v>0</x:v>
      </x:c>
      <x:c r="P333" s="157" t="str">
        <x:v>test</x:v>
      </x:c>
    </x:row>
    <x:row r="334">
      <x:c r="A334" s="157" t="str">
        <x:v>L010952</x:v>
      </x:c>
      <x:c r="B334" s="165" t="n">
        <x:v>44562</x:v>
      </x:c>
      <x:c r="C334" s="157" t="str">
        <x:v>Real_Estate</x:v>
      </x:c>
      <x:c r="D334" s="157" t="str">
        <x:v>term_loan</x:v>
      </x:c>
      <x:c r="E334" s="157" t="str">
        <x:v>secured</x:v>
      </x:c>
      <x:c r="F334" s="157" t="str">
        <x:v>CCC</x:v>
      </x:c>
      <x:c r="G334" s="157" t="n">
        <x:v>671</x:v>
      </x:c>
      <x:c r="H334" s="166" t="n">
        <x:v>6584915.71</x:v>
      </x:c>
      <x:c r="I334" s="162" t="n">
        <x:v>0.4483</x:v>
      </x:c>
      <x:c r="J334" s="162" t="n">
        <x:v>0.339267</x:v>
      </x:c>
      <x:c r="K334" s="157" t="str">
        <x:v>Very High</x:v>
      </x:c>
      <x:c r="L334" s="157" t="n">
        <x:v>1</x:v>
      </x:c>
      <x:c r="M334" s="157" t="str">
        <x:v>Manual Review</x:v>
      </x:c>
      <x:c r="N334" s="166" t="n">
        <x:v>1001522.19</x:v>
      </x:c>
      <x:c r="O334" s="157" t="n">
        <x:v>0</x:v>
      </x:c>
      <x:c r="P334" s="157" t="str">
        <x:v>test</x:v>
      </x:c>
    </x:row>
    <x:row r="335">
      <x:c r="A335" s="157" t="str">
        <x:v>L048611</x:v>
      </x:c>
      <x:c r="B335" s="165" t="n">
        <x:v>45200</x:v>
      </x:c>
      <x:c r="C335" s="157" t="str">
        <x:v>Industrials</x:v>
      </x:c>
      <x:c r="D335" s="157" t="str">
        <x:v>mortgage</x:v>
      </x:c>
      <x:c r="E335" s="157" t="str">
        <x:v>partially_secured</x:v>
      </x:c>
      <x:c r="F335" s="157" t="str">
        <x:v>B</x:v>
      </x:c>
      <x:c r="G335" s="157" t="n">
        <x:v>634</x:v>
      </x:c>
      <x:c r="H335" s="166" t="n">
        <x:v>13229167.15</x:v>
      </x:c>
      <x:c r="I335" s="162" t="n">
        <x:v>0.4434</x:v>
      </x:c>
      <x:c r="J335" s="162" t="n">
        <x:v>0.17064</x:v>
      </x:c>
      <x:c r="K335" s="157" t="str">
        <x:v>High</x:v>
      </x:c>
      <x:c r="L335" s="157" t="n">
        <x:v>4</x:v>
      </x:c>
      <x:c r="M335" s="157" t="str">
        <x:v>Manual Review</x:v>
      </x:c>
      <x:c r="N335" s="166" t="n">
        <x:v>1000942.28</x:v>
      </x:c>
      <x:c r="O335" s="157" t="n">
        <x:v>0</x:v>
      </x:c>
      <x:c r="P335" s="157" t="str">
        <x:v>test</x:v>
      </x:c>
    </x:row>
    <x:row r="336">
      <x:c r="A336" s="157" t="str">
        <x:v>L047356</x:v>
      </x:c>
      <x:c r="B336" s="165" t="n">
        <x:v>45261</x:v>
      </x:c>
      <x:c r="C336" s="157" t="str">
        <x:v>Telecom</x:v>
      </x:c>
      <x:c r="D336" s="157" t="str">
        <x:v>mortgage</x:v>
      </x:c>
      <x:c r="E336" s="157" t="str">
        <x:v>partially_secured</x:v>
      </x:c>
      <x:c r="F336" s="157" t="str">
        <x:v>CCC</x:v>
      </x:c>
      <x:c r="G336" s="157" t="n">
        <x:v>624</x:v>
      </x:c>
      <x:c r="H336" s="166" t="n">
        <x:v>2789825.64</x:v>
      </x:c>
      <x:c r="I336" s="162" t="n">
        <x:v>0.8102</x:v>
      </x:c>
      <x:c r="J336" s="162" t="n">
        <x:v>0.442426</x:v>
      </x:c>
      <x:c r="K336" s="157" t="str">
        <x:v>Very High</x:v>
      </x:c>
      <x:c r="L336" s="157" t="n">
        <x:v>1</x:v>
      </x:c>
      <x:c r="M336" s="157" t="str">
        <x:v>Manual Review</x:v>
      </x:c>
      <x:c r="N336" s="166" t="n">
        <x:v>1000022.89</x:v>
      </x:c>
      <x:c r="O336" s="157" t="n">
        <x:v>1</x:v>
      </x:c>
      <x:c r="P336" s="157" t="str">
        <x:v>test</x:v>
      </x:c>
    </x:row>
    <x:row r="337">
      <x:c r="A337" s="157" t="str">
        <x:v>L024273</x:v>
      </x:c>
      <x:c r="B337" s="165" t="n">
        <x:v>45078</x:v>
      </x:c>
      <x:c r="C337" s="157" t="str">
        <x:v>Utilities</x:v>
      </x:c>
      <x:c r="D337" s="157" t="str">
        <x:v>mortgage</x:v>
      </x:c>
      <x:c r="E337" s="157" t="str">
        <x:v>unsecured</x:v>
      </x:c>
      <x:c r="F337" s="157" t="str">
        <x:v>CCC</x:v>
      </x:c>
      <x:c r="G337" s="157" t="n">
        <x:v>677</x:v>
      </x:c>
      <x:c r="H337" s="166" t="n">
        <x:v>4918883.76</x:v>
      </x:c>
      <x:c r="I337" s="162" t="n">
        <x:v>0.5583</x:v>
      </x:c>
      <x:c r="J337" s="162" t="n">
        <x:v>0.362703</x:v>
      </x:c>
      <x:c r="K337" s="157" t="str">
        <x:v>Very High</x:v>
      </x:c>
      <x:c r="L337" s="157" t="n">
        <x:v>1</x:v>
      </x:c>
      <x:c r="M337" s="157" t="str">
        <x:v>Manual Review</x:v>
      </x:c>
      <x:c r="N337" s="166" t="n">
        <x:v>996059.62</x:v>
      </x:c>
      <x:c r="O337" s="157" t="n">
        <x:v>0</x:v>
      </x:c>
      <x:c r="P337" s="157" t="str">
        <x:v>test</x:v>
      </x:c>
    </x:row>
    <x:row r="338">
      <x:c r="A338" s="157" t="str">
        <x:v>L015495</x:v>
      </x:c>
      <x:c r="B338" s="165" t="n">
        <x:v>45108</x:v>
      </x:c>
      <x:c r="C338" s="157" t="str">
        <x:v>Technology</x:v>
      </x:c>
      <x:c r="D338" s="157" t="str">
        <x:v>bond</x:v>
      </x:c>
      <x:c r="E338" s="157" t="str">
        <x:v>secured</x:v>
      </x:c>
      <x:c r="F338" s="157" t="str">
        <x:v>BB</x:v>
      </x:c>
      <x:c r="G338" s="157" t="n">
        <x:v>633</x:v>
      </x:c>
      <x:c r="H338" s="166" t="n">
        <x:v>16721457.78</x:v>
      </x:c>
      <x:c r="I338" s="162" t="n">
        <x:v>0.3458</x:v>
      </x:c>
      <x:c r="J338" s="162" t="n">
        <x:v>0.172251</x:v>
      </x:c>
      <x:c r="K338" s="157" t="str">
        <x:v>High</x:v>
      </x:c>
      <x:c r="L338" s="157" t="n">
        <x:v>4</x:v>
      </x:c>
      <x:c r="M338" s="157" t="str">
        <x:v>Manual Review</x:v>
      </x:c>
      <x:c r="N338" s="166" t="n">
        <x:v>996003.53</x:v>
      </x:c>
      <x:c r="O338" s="157" t="n">
        <x:v>0</x:v>
      </x:c>
      <x:c r="P338" s="157" t="str">
        <x:v>test</x:v>
      </x:c>
    </x:row>
    <x:row r="339">
      <x:c r="A339" s="157" t="str">
        <x:v>L044408</x:v>
      </x:c>
      <x:c r="B339" s="165" t="n">
        <x:v>44682</x:v>
      </x:c>
      <x:c r="C339" s="157" t="str">
        <x:v>Energy</x:v>
      </x:c>
      <x:c r="D339" s="157" t="str">
        <x:v>mortgage</x:v>
      </x:c>
      <x:c r="E339" s="157" t="str">
        <x:v>partially_secured</x:v>
      </x:c>
      <x:c r="F339" s="157" t="str">
        <x:v>B</x:v>
      </x:c>
      <x:c r="G339" s="157" t="n">
        <x:v>685</x:v>
      </x:c>
      <x:c r="H339" s="166" t="n">
        <x:v>8669309.23</x:v>
      </x:c>
      <x:c r="I339" s="162" t="n">
        <x:v>0.6685</x:v>
      </x:c>
      <x:c r="J339" s="162" t="n">
        <x:v>0.171093</x:v>
      </x:c>
      <x:c r="K339" s="157" t="str">
        <x:v>High</x:v>
      </x:c>
      <x:c r="L339" s="157" t="n">
        <x:v>4</x:v>
      </x:c>
      <x:c r="M339" s="157" t="str">
        <x:v>Manual Review</x:v>
      </x:c>
      <x:c r="N339" s="166" t="n">
        <x:v>991558.06</x:v>
      </x:c>
      <x:c r="O339" s="157" t="n">
        <x:v>0</x:v>
      </x:c>
      <x:c r="P339" s="157" t="str">
        <x:v>test</x:v>
      </x:c>
    </x:row>
    <x:row r="340">
      <x:c r="A340" s="157" t="str">
        <x:v>L029815</x:v>
      </x:c>
      <x:c r="B340" s="165" t="n">
        <x:v>44621</x:v>
      </x:c>
      <x:c r="C340" s="157" t="str">
        <x:v>Energy</x:v>
      </x:c>
      <x:c r="D340" s="157" t="str">
        <x:v>term_loan</x:v>
      </x:c>
      <x:c r="E340" s="157" t="str">
        <x:v>unsecured</x:v>
      </x:c>
      <x:c r="F340" s="157" t="str">
        <x:v>B</x:v>
      </x:c>
      <x:c r="G340" s="157" t="n">
        <x:v>627</x:v>
      </x:c>
      <x:c r="H340" s="166" t="n">
        <x:v>5952300.02</x:v>
      </x:c>
      <x:c r="I340" s="162" t="n">
        <x:v>0.6607</x:v>
      </x:c>
      <x:c r="J340" s="162" t="n">
        <x:v>0.252014</x:v>
      </x:c>
      <x:c r="K340" s="157" t="str">
        <x:v>High</x:v>
      </x:c>
      <x:c r="L340" s="157" t="n">
        <x:v>2</x:v>
      </x:c>
      <x:c r="M340" s="157" t="str">
        <x:v>Manual Review</x:v>
      </x:c>
      <x:c r="N340" s="166" t="n">
        <x:v>991091.58</x:v>
      </x:c>
      <x:c r="O340" s="157" t="n">
        <x:v>1</x:v>
      </x:c>
      <x:c r="P340" s="157" t="str">
        <x:v>test</x:v>
      </x:c>
    </x:row>
    <x:row r="341">
      <x:c r="A341" s="157" t="str">
        <x:v>L007026</x:v>
      </x:c>
      <x:c r="B341" s="165" t="n">
        <x:v>45231</x:v>
      </x:c>
      <x:c r="C341" s="157" t="str">
        <x:v>Real_Estate</x:v>
      </x:c>
      <x:c r="D341" s="157" t="str">
        <x:v>revolving</x:v>
      </x:c>
      <x:c r="E341" s="157" t="str">
        <x:v>partially_secured</x:v>
      </x:c>
      <x:c r="F341" s="157" t="str">
        <x:v>B</x:v>
      </x:c>
      <x:c r="G341" s="157" t="n">
        <x:v>673</x:v>
      </x:c>
      <x:c r="H341" s="166" t="n">
        <x:v>11419335.58</x:v>
      </x:c>
      <x:c r="I341" s="162" t="n">
        <x:v>0.4784</x:v>
      </x:c>
      <x:c r="J341" s="162" t="n">
        <x:v>0.181358</x:v>
      </x:c>
      <x:c r="K341" s="157" t="str">
        <x:v>High</x:v>
      </x:c>
      <x:c r="L341" s="157" t="n">
        <x:v>3</x:v>
      </x:c>
      <x:c r="M341" s="157" t="str">
        <x:v>Manual Review</x:v>
      </x:c>
      <x:c r="N341" s="166" t="n">
        <x:v>990760.59</x:v>
      </x:c>
      <x:c r="O341" s="157" t="n">
        <x:v>0</x:v>
      </x:c>
      <x:c r="P341" s="157" t="str">
        <x:v>test</x:v>
      </x:c>
    </x:row>
    <x:row r="342">
      <x:c r="A342" s="157" t="str">
        <x:v>L039415</x:v>
      </x:c>
      <x:c r="B342" s="165" t="n">
        <x:v>44896</x:v>
      </x:c>
      <x:c r="C342" s="157" t="str">
        <x:v>Financials</x:v>
      </x:c>
      <x:c r="D342" s="157" t="str">
        <x:v>mortgage</x:v>
      </x:c>
      <x:c r="E342" s="157" t="str">
        <x:v>unsecured</x:v>
      </x:c>
      <x:c r="F342" s="157" t="str">
        <x:v>BB</x:v>
      </x:c>
      <x:c r="G342" s="157" t="n">
        <x:v>690</x:v>
      </x:c>
      <x:c r="H342" s="166" t="n">
        <x:v>7103144.78</x:v>
      </x:c>
      <x:c r="I342" s="162" t="n">
        <x:v>0.6947</x:v>
      </x:c>
      <x:c r="J342" s="162" t="n">
        <x:v>0.200768</x:v>
      </x:c>
      <x:c r="K342" s="157" t="str">
        <x:v>High</x:v>
      </x:c>
      <x:c r="L342" s="157" t="n">
        <x:v>3</x:v>
      </x:c>
      <x:c r="M342" s="157" t="str">
        <x:v>Manual Review</x:v>
      </x:c>
      <x:c r="N342" s="166" t="n">
        <x:v>990700.67</x:v>
      </x:c>
      <x:c r="O342" s="157" t="n">
        <x:v>0</x:v>
      </x:c>
      <x:c r="P342" s="157" t="str">
        <x:v>test</x:v>
      </x:c>
    </x:row>
    <x:row r="343">
      <x:c r="A343" s="157" t="str">
        <x:v>L029902</x:v>
      </x:c>
      <x:c r="B343" s="165" t="n">
        <x:v>45017</x:v>
      </x:c>
      <x:c r="C343" s="157" t="str">
        <x:v>Energy</x:v>
      </x:c>
      <x:c r="D343" s="157" t="str">
        <x:v>term_loan</x:v>
      </x:c>
      <x:c r="E343" s="157" t="str">
        <x:v>partially_secured</x:v>
      </x:c>
      <x:c r="F343" s="157" t="str">
        <x:v>B</x:v>
      </x:c>
      <x:c r="G343" s="157" t="n">
        <x:v>678</x:v>
      </x:c>
      <x:c r="H343" s="166" t="n">
        <x:v>7021392.84</x:v>
      </x:c>
      <x:c r="I343" s="162" t="n">
        <x:v>0.6037</x:v>
      </x:c>
      <x:c r="J343" s="162" t="n">
        <x:v>0.233568</x:v>
      </x:c>
      <x:c r="K343" s="157" t="str">
        <x:v>High</x:v>
      </x:c>
      <x:c r="L343" s="157" t="n">
        <x:v>2</x:v>
      </x:c>
      <x:c r="M343" s="157" t="str">
        <x:v>Manual Review</x:v>
      </x:c>
      <x:c r="N343" s="166" t="n">
        <x:v>990051.51</x:v>
      </x:c>
      <x:c r="O343" s="157" t="n">
        <x:v>1</x:v>
      </x:c>
      <x:c r="P343" s="157" t="str">
        <x:v>test</x:v>
      </x:c>
    </x:row>
    <x:row r="344">
      <x:c r="A344" s="157" t="str">
        <x:v>L001877</x:v>
      </x:c>
      <x:c r="B344" s="165" t="n">
        <x:v>45017</x:v>
      </x:c>
      <x:c r="C344" s="157" t="str">
        <x:v>Real_Estate</x:v>
      </x:c>
      <x:c r="D344" s="157" t="str">
        <x:v>term_loan</x:v>
      </x:c>
      <x:c r="E344" s="157" t="str">
        <x:v>secured</x:v>
      </x:c>
      <x:c r="F344" s="157" t="str">
        <x:v>CCC</x:v>
      </x:c>
      <x:c r="G344" s="157" t="n">
        <x:v>590</x:v>
      </x:c>
      <x:c r="H344" s="166" t="n">
        <x:v>8141010.78</x:v>
      </x:c>
      <x:c r="I344" s="162" t="n">
        <x:v>0.3045</x:v>
      </x:c>
      <x:c r="J344" s="162" t="n">
        <x:v>0.398808</x:v>
      </x:c>
      <x:c r="K344" s="157" t="str">
        <x:v>Very High</x:v>
      </x:c>
      <x:c r="L344" s="157" t="n">
        <x:v>1</x:v>
      </x:c>
      <x:c r="M344" s="157" t="str">
        <x:v>Manual Review</x:v>
      </x:c>
      <x:c r="N344" s="166" t="n">
        <x:v>988620.22</x:v>
      </x:c>
      <x:c r="O344" s="157" t="n">
        <x:v>0</x:v>
      </x:c>
      <x:c r="P344" s="157" t="str">
        <x:v>test</x:v>
      </x:c>
    </x:row>
    <x:row r="345">
      <x:c r="A345" s="157" t="str">
        <x:v>L006045</x:v>
      </x:c>
      <x:c r="B345" s="165" t="n">
        <x:v>44774</x:v>
      </x:c>
      <x:c r="C345" s="157" t="str">
        <x:v>Technology</x:v>
      </x:c>
      <x:c r="D345" s="157" t="str">
        <x:v>lease</x:v>
      </x:c>
      <x:c r="E345" s="157" t="str">
        <x:v>partially_secured</x:v>
      </x:c>
      <x:c r="F345" s="157" t="str">
        <x:v>A</x:v>
      </x:c>
      <x:c r="G345" s="157" t="n">
        <x:v>737</x:v>
      </x:c>
      <x:c r="H345" s="166" t="n">
        <x:v>7296624.93</x:v>
      </x:c>
      <x:c r="I345" s="162" t="n">
        <x:v>0.7682</x:v>
      </x:c>
      <x:c r="J345" s="162" t="n">
        <x:v>0.176291</x:v>
      </x:c>
      <x:c r="K345" s="157" t="str">
        <x:v>High</x:v>
      </x:c>
      <x:c r="L345" s="157" t="n">
        <x:v>4</x:v>
      </x:c>
      <x:c r="M345" s="157" t="str">
        <x:v>Manual Review</x:v>
      </x:c>
      <x:c r="N345" s="166" t="n">
        <x:v>988158.17</x:v>
      </x:c>
      <x:c r="O345" s="157" t="n">
        <x:v>0</x:v>
      </x:c>
      <x:c r="P345" s="157" t="str">
        <x:v>test</x:v>
      </x:c>
    </x:row>
    <x:row r="346">
      <x:c r="A346" s="157" t="str">
        <x:v>L015917</x:v>
      </x:c>
      <x:c r="B346" s="165" t="n">
        <x:v>45139</x:v>
      </x:c>
      <x:c r="C346" s="157" t="str">
        <x:v>Telecom</x:v>
      </x:c>
      <x:c r="D346" s="157" t="str">
        <x:v>bond</x:v>
      </x:c>
      <x:c r="E346" s="157" t="str">
        <x:v>secured</x:v>
      </x:c>
      <x:c r="F346" s="157" t="str">
        <x:v>BB</x:v>
      </x:c>
      <x:c r="G346" s="157" t="n">
        <x:v>679</x:v>
      </x:c>
      <x:c r="H346" s="166" t="n">
        <x:v>11453099.75</x:v>
      </x:c>
      <x:c r="I346" s="162" t="n">
        <x:v>0.4729</x:v>
      </x:c>
      <x:c r="J346" s="162" t="n">
        <x:v>0.182291</x:v>
      </x:c>
      <x:c r="K346" s="157" t="str">
        <x:v>High</x:v>
      </x:c>
      <x:c r="L346" s="157" t="n">
        <x:v>3</x:v>
      </x:c>
      <x:c r="M346" s="157" t="str">
        <x:v>Manual Review</x:v>
      </x:c>
      <x:c r="N346" s="166" t="n">
        <x:v>987319.2</x:v>
      </x:c>
      <x:c r="O346" s="157" t="n">
        <x:v>0</x:v>
      </x:c>
      <x:c r="P346" s="157" t="str">
        <x:v>test</x:v>
      </x:c>
    </x:row>
    <x:row r="347">
      <x:c r="A347" s="157" t="str">
        <x:v>L008201</x:v>
      </x:c>
      <x:c r="B347" s="165" t="n">
        <x:v>45078</x:v>
      </x:c>
      <x:c r="C347" s="157" t="str">
        <x:v>Real_Estate</x:v>
      </x:c>
      <x:c r="D347" s="157" t="str">
        <x:v>term_loan</x:v>
      </x:c>
      <x:c r="E347" s="157" t="str">
        <x:v>partially_secured</x:v>
      </x:c>
      <x:c r="F347" s="157" t="str">
        <x:v>B</x:v>
      </x:c>
      <x:c r="G347" s="157" t="n">
        <x:v>656</x:v>
      </x:c>
      <x:c r="H347" s="166" t="n">
        <x:v>10768736.83</x:v>
      </x:c>
      <x:c r="I347" s="162" t="n">
        <x:v>0.4162</x:v>
      </x:c>
      <x:c r="J347" s="162" t="n">
        <x:v>0.219537</x:v>
      </x:c>
      <x:c r="K347" s="157" t="str">
        <x:v>High</x:v>
      </x:c>
      <x:c r="L347" s="157" t="n">
        <x:v>2</x:v>
      </x:c>
      <x:c r="M347" s="157" t="str">
        <x:v>Manual Review</x:v>
      </x:c>
      <x:c r="N347" s="166" t="n">
        <x:v>983953.48</x:v>
      </x:c>
      <x:c r="O347" s="157" t="n">
        <x:v>0</x:v>
      </x:c>
      <x:c r="P347" s="157" t="str">
        <x:v>test</x:v>
      </x:c>
    </x:row>
    <x:row r="348">
      <x:c r="A348" s="157" t="str">
        <x:v>L008566</x:v>
      </x:c>
      <x:c r="B348" s="165" t="n">
        <x:v>44896</x:v>
      </x:c>
      <x:c r="C348" s="157" t="str">
        <x:v>Technology</x:v>
      </x:c>
      <x:c r="D348" s="157" t="str">
        <x:v>term_loan</x:v>
      </x:c>
      <x:c r="E348" s="157" t="str">
        <x:v>partially_secured</x:v>
      </x:c>
      <x:c r="F348" s="157" t="str">
        <x:v>B</x:v>
      </x:c>
      <x:c r="G348" s="157" t="n">
        <x:v>688</x:v>
      </x:c>
      <x:c r="H348" s="166" t="n">
        <x:v>5567051.81</x:v>
      </x:c>
      <x:c r="I348" s="162" t="n">
        <x:v>0.6468</x:v>
      </x:c>
      <x:c r="J348" s="162" t="n">
        <x:v>0.273094</x:v>
      </x:c>
      <x:c r="K348" s="157" t="str">
        <x:v>High</x:v>
      </x:c>
      <x:c r="L348" s="157" t="n">
        <x:v>1</x:v>
      </x:c>
      <x:c r="M348" s="157" t="str">
        <x:v>Manual Review</x:v>
      </x:c>
      <x:c r="N348" s="166" t="n">
        <x:v>983348.44</x:v>
      </x:c>
      <x:c r="O348" s="157" t="n">
        <x:v>1</x:v>
      </x:c>
      <x:c r="P348" s="157" t="str">
        <x:v>test</x:v>
      </x:c>
    </x:row>
    <x:row r="349">
      <x:c r="A349" s="157" t="str">
        <x:v>L028192</x:v>
      </x:c>
      <x:c r="B349" s="165" t="n">
        <x:v>45078</x:v>
      </x:c>
      <x:c r="C349" s="157" t="str">
        <x:v>Utilities</x:v>
      </x:c>
      <x:c r="D349" s="157" t="str">
        <x:v>revolving</x:v>
      </x:c>
      <x:c r="E349" s="157" t="str">
        <x:v>partially_secured</x:v>
      </x:c>
      <x:c r="F349" s="157" t="str">
        <x:v>B</x:v>
      </x:c>
      <x:c r="G349" s="157" t="n">
        <x:v>640</x:v>
      </x:c>
      <x:c r="H349" s="166" t="n">
        <x:v>7273005.85</x:v>
      </x:c>
      <x:c r="I349" s="162" t="n">
        <x:v>0.5202</x:v>
      </x:c>
      <x:c r="J349" s="162" t="n">
        <x:v>0.259646</x:v>
      </x:c>
      <x:c r="K349" s="157" t="str">
        <x:v>High</x:v>
      </x:c>
      <x:c r="L349" s="157" t="n">
        <x:v>2</x:v>
      </x:c>
      <x:c r="M349" s="157" t="str">
        <x:v>Manual Review</x:v>
      </x:c>
      <x:c r="N349" s="166" t="n">
        <x:v>982349.26</x:v>
      </x:c>
      <x:c r="O349" s="157" t="n">
        <x:v>1</x:v>
      </x:c>
      <x:c r="P349" s="157" t="str">
        <x:v>test</x:v>
      </x:c>
    </x:row>
    <x:row r="350">
      <x:c r="A350" s="157" t="str">
        <x:v>L044203</x:v>
      </x:c>
      <x:c r="B350" s="165" t="n">
        <x:v>45231</x:v>
      </x:c>
      <x:c r="C350" s="157" t="str">
        <x:v>Financials</x:v>
      </x:c>
      <x:c r="D350" s="157" t="str">
        <x:v>mortgage</x:v>
      </x:c>
      <x:c r="E350" s="157" t="str">
        <x:v>secured</x:v>
      </x:c>
      <x:c r="F350" s="157" t="str">
        <x:v>B</x:v>
      </x:c>
      <x:c r="G350" s="157" t="n">
        <x:v>703</x:v>
      </x:c>
      <x:c r="H350" s="166" t="n">
        <x:v>12023621.63</x:v>
      </x:c>
      <x:c r="I350" s="162" t="n">
        <x:v>0.4159</x:v>
      </x:c>
      <x:c r="J350" s="162" t="n">
        <x:v>0.196433</x:v>
      </x:c>
      <x:c r="K350" s="157" t="str">
        <x:v>High</x:v>
      </x:c>
      <x:c r="L350" s="157" t="n">
        <x:v>3</x:v>
      </x:c>
      <x:c r="M350" s="157" t="str">
        <x:v>Manual Review</x:v>
      </x:c>
      <x:c r="N350" s="166" t="n">
        <x:v>982287.62</x:v>
      </x:c>
      <x:c r="O350" s="157" t="n">
        <x:v>0</x:v>
      </x:c>
      <x:c r="P350" s="157" t="str">
        <x:v>test</x:v>
      </x:c>
    </x:row>
    <x:row r="351">
      <x:c r="A351" s="157" t="str">
        <x:v>L048185</x:v>
      </x:c>
      <x:c r="B351" s="165" t="n">
        <x:v>44682</x:v>
      </x:c>
      <x:c r="C351" s="157" t="str">
        <x:v>Energy</x:v>
      </x:c>
      <x:c r="D351" s="157" t="str">
        <x:v>term_loan</x:v>
      </x:c>
      <x:c r="E351" s="157" t="str">
        <x:v>unsecured</x:v>
      </x:c>
      <x:c r="F351" s="157" t="str">
        <x:v>CCC</x:v>
      </x:c>
      <x:c r="G351" s="157" t="n">
        <x:v>605</x:v>
      </x:c>
      <x:c r="H351" s="166" t="n">
        <x:v>5843594.34</x:v>
      </x:c>
      <x:c r="I351" s="162" t="n">
        <x:v>0.5222</x:v>
      </x:c>
      <x:c r="J351" s="162" t="n">
        <x:v>0.321299</x:v>
      </x:c>
      <x:c r="K351" s="157" t="str">
        <x:v>Very High</x:v>
      </x:c>
      <x:c r="L351" s="157" t="n">
        <x:v>1</x:v>
      </x:c>
      <x:c r="M351" s="157" t="str">
        <x:v>Manual Review</x:v>
      </x:c>
      <x:c r="N351" s="166" t="n">
        <x:v>980451.92</x:v>
      </x:c>
      <x:c r="O351" s="157" t="n">
        <x:v>0</x:v>
      </x:c>
      <x:c r="P351" s="157" t="str">
        <x:v>test</x:v>
      </x:c>
    </x:row>
    <x:row r="352">
      <x:c r="A352" s="157" t="str">
        <x:v>L038936</x:v>
      </x:c>
      <x:c r="B352" s="165" t="n">
        <x:v>45261</x:v>
      </x:c>
      <x:c r="C352" s="157" t="str">
        <x:v>Utilities</x:v>
      </x:c>
      <x:c r="D352" s="157" t="str">
        <x:v>term_loan</x:v>
      </x:c>
      <x:c r="E352" s="157" t="str">
        <x:v>unsecured</x:v>
      </x:c>
      <x:c r="F352" s="157" t="str">
        <x:v>B</x:v>
      </x:c>
      <x:c r="G352" s="157" t="n">
        <x:v>743</x:v>
      </x:c>
      <x:c r="H352" s="166" t="n">
        <x:v>9110246.98</x:v>
      </x:c>
      <x:c r="I352" s="162" t="n">
        <x:v>0.625</x:v>
      </x:c>
      <x:c r="J352" s="162" t="n">
        <x:v>0.171962</x:v>
      </x:c>
      <x:c r="K352" s="157" t="str">
        <x:v>High</x:v>
      </x:c>
      <x:c r="L352" s="157" t="n">
        <x:v>4</x:v>
      </x:c>
      <x:c r="M352" s="157" t="str">
        <x:v>Manual Review</x:v>
      </x:c>
      <x:c r="N352" s="166" t="n">
        <x:v>979135.18</x:v>
      </x:c>
      <x:c r="O352" s="157" t="n">
        <x:v>1</x:v>
      </x:c>
      <x:c r="P352" s="157" t="str">
        <x:v>test</x:v>
      </x:c>
    </x:row>
    <x:row r="353">
      <x:c r="A353" s="157" t="str">
        <x:v>L038271</x:v>
      </x:c>
      <x:c r="B353" s="165" t="n">
        <x:v>45078</x:v>
      </x:c>
      <x:c r="C353" s="157" t="str">
        <x:v>Industrials</x:v>
      </x:c>
      <x:c r="D353" s="157" t="str">
        <x:v>term_loan</x:v>
      </x:c>
      <x:c r="E353" s="157" t="str">
        <x:v>unsecured</x:v>
      </x:c>
      <x:c r="F353" s="157" t="str">
        <x:v>BB</x:v>
      </x:c>
      <x:c r="G353" s="157" t="n">
        <x:v>657</x:v>
      </x:c>
      <x:c r="H353" s="166" t="n">
        <x:v>6350993.85</x:v>
      </x:c>
      <x:c r="I353" s="162" t="n">
        <x:v>0.7675</x:v>
      </x:c>
      <x:c r="J353" s="162" t="n">
        <x:v>0.20083</x:v>
      </x:c>
      <x:c r="K353" s="157" t="str">
        <x:v>High</x:v>
      </x:c>
      <x:c r="L353" s="157" t="n">
        <x:v>3</x:v>
      </x:c>
      <x:c r="M353" s="157" t="str">
        <x:v>Manual Review</x:v>
      </x:c>
      <x:c r="N353" s="166" t="n">
        <x:v>978923.3</x:v>
      </x:c>
      <x:c r="O353" s="157" t="n">
        <x:v>0</x:v>
      </x:c>
      <x:c r="P353" s="157" t="str">
        <x:v>test</x:v>
      </x:c>
    </x:row>
    <x:row r="354">
      <x:c r="A354" s="157" t="str">
        <x:v>L048674</x:v>
      </x:c>
      <x:c r="B354" s="165" t="n">
        <x:v>44713</x:v>
      </x:c>
      <x:c r="C354" s="157" t="str">
        <x:v>Energy</x:v>
      </x:c>
      <x:c r="D354" s="157" t="str">
        <x:v>term_loan</x:v>
      </x:c>
      <x:c r="E354" s="157" t="str">
        <x:v>unsecured</x:v>
      </x:c>
      <x:c r="F354" s="157" t="str">
        <x:v>CCC</x:v>
      </x:c>
      <x:c r="G354" s="157" t="n">
        <x:v>722</x:v>
      </x:c>
      <x:c r="H354" s="166" t="n">
        <x:v>5694457.73</x:v>
      </x:c>
      <x:c r="I354" s="162" t="n">
        <x:v>0.6383</x:v>
      </x:c>
      <x:c r="J354" s="162" t="n">
        <x:v>0.268433</x:v>
      </x:c>
      <x:c r="K354" s="157" t="str">
        <x:v>High</x:v>
      </x:c>
      <x:c r="L354" s="157" t="n">
        <x:v>2</x:v>
      </x:c>
      <x:c r="M354" s="157" t="str">
        <x:v>Manual Review</x:v>
      </x:c>
      <x:c r="N354" s="166" t="n">
        <x:v>975692.85</x:v>
      </x:c>
      <x:c r="O354" s="157" t="n">
        <x:v>0</x:v>
      </x:c>
      <x:c r="P354" s="157" t="str">
        <x:v>test</x:v>
      </x:c>
    </x:row>
    <x:row r="355">
      <x:c r="A355" s="157" t="str">
        <x:v>L037431</x:v>
      </x:c>
      <x:c r="B355" s="165" t="n">
        <x:v>44835</x:v>
      </x:c>
      <x:c r="C355" s="157" t="str">
        <x:v>Real_Estate</x:v>
      </x:c>
      <x:c r="D355" s="157" t="str">
        <x:v>mortgage</x:v>
      </x:c>
      <x:c r="E355" s="157" t="str">
        <x:v>unsecured</x:v>
      </x:c>
      <x:c r="F355" s="157" t="str">
        <x:v>CCC</x:v>
      </x:c>
      <x:c r="G355" s="157" t="n">
        <x:v>639</x:v>
      </x:c>
      <x:c r="H355" s="166" t="n">
        <x:v>4004313.14</x:v>
      </x:c>
      <x:c r="I355" s="162" t="n">
        <x:v>0.5822</x:v>
      </x:c>
      <x:c r="J355" s="162" t="n">
        <x:v>0.418125</x:v>
      </x:c>
      <x:c r="K355" s="157" t="str">
        <x:v>Very High</x:v>
      </x:c>
      <x:c r="L355" s="157" t="n">
        <x:v>1</x:v>
      </x:c>
      <x:c r="M355" s="157" t="str">
        <x:v>Manual Review</x:v>
      </x:c>
      <x:c r="N355" s="166" t="n">
        <x:v>974779.46</x:v>
      </x:c>
      <x:c r="O355" s="157" t="n">
        <x:v>1</x:v>
      </x:c>
      <x:c r="P355" s="157" t="str">
        <x:v>test</x:v>
      </x:c>
    </x:row>
    <x:row r="356">
      <x:c r="A356" s="157" t="str">
        <x:v>L020518</x:v>
      </x:c>
      <x:c r="B356" s="165" t="n">
        <x:v>45231</x:v>
      </x:c>
      <x:c r="C356" s="157" t="str">
        <x:v>Utilities</x:v>
      </x:c>
      <x:c r="D356" s="157" t="str">
        <x:v>bond</x:v>
      </x:c>
      <x:c r="E356" s="157" t="str">
        <x:v>unsecured</x:v>
      </x:c>
      <x:c r="F356" s="157" t="str">
        <x:v>CCC</x:v>
      </x:c>
      <x:c r="G356" s="157" t="n">
        <x:v>631</x:v>
      </x:c>
      <x:c r="H356" s="166" t="n">
        <x:v>5080825.22</x:v>
      </x:c>
      <x:c r="I356" s="162" t="n">
        <x:v>0.7426</x:v>
      </x:c>
      <x:c r="J356" s="162" t="n">
        <x:v>0.25815</x:v>
      </x:c>
      <x:c r="K356" s="157" t="str">
        <x:v>High</x:v>
      </x:c>
      <x:c r="L356" s="157" t="n">
        <x:v>2</x:v>
      </x:c>
      <x:c r="M356" s="157" t="str">
        <x:v>Manual Review</x:v>
      </x:c>
      <x:c r="N356" s="166" t="n">
        <x:v>974005.32</x:v>
      </x:c>
      <x:c r="O356" s="157" t="n">
        <x:v>0</x:v>
      </x:c>
      <x:c r="P356" s="157" t="str">
        <x:v>test</x:v>
      </x:c>
    </x:row>
    <x:row r="357">
      <x:c r="A357" s="157" t="str">
        <x:v>L034215</x:v>
      </x:c>
      <x:c r="B357" s="165" t="n">
        <x:v>45261</x:v>
      </x:c>
      <x:c r="C357" s="157" t="str">
        <x:v>Real_Estate</x:v>
      </x:c>
      <x:c r="D357" s="157" t="str">
        <x:v>lease</x:v>
      </x:c>
      <x:c r="E357" s="157" t="str">
        <x:v>secured</x:v>
      </x:c>
      <x:c r="F357" s="157" t="str">
        <x:v>BB</x:v>
      </x:c>
      <x:c r="G357" s="157" t="n">
        <x:v>641</x:v>
      </x:c>
      <x:c r="H357" s="166" t="n">
        <x:v>13248830.21</x:v>
      </x:c>
      <x:c r="I357" s="162" t="n">
        <x:v>0.4237</x:v>
      </x:c>
      <x:c r="J357" s="162" t="n">
        <x:v>0.17341</x:v>
      </x:c>
      <x:c r="K357" s="157" t="str">
        <x:v>High</x:v>
      </x:c>
      <x:c r="L357" s="157" t="n">
        <x:v>4</x:v>
      </x:c>
      <x:c r="M357" s="157" t="str">
        <x:v>Manual Review</x:v>
      </x:c>
      <x:c r="N357" s="166" t="n">
        <x:v>973442.13</x:v>
      </x:c>
      <x:c r="O357" s="157" t="n">
        <x:v>0</x:v>
      </x:c>
      <x:c r="P357" s="157" t="str">
        <x:v>test</x:v>
      </x:c>
    </x:row>
    <x:row r="358">
      <x:c r="A358" s="157" t="str">
        <x:v>L003341</x:v>
      </x:c>
      <x:c r="B358" s="165" t="n">
        <x:v>45231</x:v>
      </x:c>
      <x:c r="C358" s="157" t="str">
        <x:v>Financials</x:v>
      </x:c>
      <x:c r="D358" s="157" t="str">
        <x:v>bond</x:v>
      </x:c>
      <x:c r="E358" s="157" t="str">
        <x:v>unsecured</x:v>
      </x:c>
      <x:c r="F358" s="157" t="str">
        <x:v>BB</x:v>
      </x:c>
      <x:c r="G358" s="157" t="n">
        <x:v>706</x:v>
      </x:c>
      <x:c r="H358" s="166" t="n">
        <x:v>10309891.41</x:v>
      </x:c>
      <x:c r="I358" s="162" t="n">
        <x:v>0.5144</x:v>
      </x:c>
      <x:c r="J358" s="162" t="n">
        <x:v>0.183499</x:v>
      </x:c>
      <x:c r="K358" s="157" t="str">
        <x:v>High</x:v>
      </x:c>
      <x:c r="L358" s="157" t="n">
        <x:v>3</x:v>
      </x:c>
      <x:c r="M358" s="157" t="str">
        <x:v>Manual Review</x:v>
      </x:c>
      <x:c r="N358" s="166" t="n">
        <x:v>973170.09</x:v>
      </x:c>
      <x:c r="O358" s="157" t="n">
        <x:v>0</x:v>
      </x:c>
      <x:c r="P358" s="157" t="str">
        <x:v>test</x:v>
      </x:c>
    </x:row>
    <x:row r="359">
      <x:c r="A359" s="157" t="str">
        <x:v>L016317</x:v>
      </x:c>
      <x:c r="B359" s="165" t="n">
        <x:v>44986</x:v>
      </x:c>
      <x:c r="C359" s="157" t="str">
        <x:v>Consumer</x:v>
      </x:c>
      <x:c r="D359" s="157" t="str">
        <x:v>term_loan</x:v>
      </x:c>
      <x:c r="E359" s="157" t="str">
        <x:v>partially_secured</x:v>
      </x:c>
      <x:c r="F359" s="157" t="str">
        <x:v>B</x:v>
      </x:c>
      <x:c r="G359" s="157" t="n">
        <x:v>658</x:v>
      </x:c>
      <x:c r="H359" s="166" t="n">
        <x:v>6277690.06</x:v>
      </x:c>
      <x:c r="I359" s="162" t="n">
        <x:v>0.5917</x:v>
      </x:c>
      <x:c r="J359" s="162" t="n">
        <x:v>0.259309</x:v>
      </x:c>
      <x:c r="K359" s="157" t="str">
        <x:v>High</x:v>
      </x:c>
      <x:c r="L359" s="157" t="n">
        <x:v>2</x:v>
      </x:c>
      <x:c r="M359" s="157" t="str">
        <x:v>Manual Review</x:v>
      </x:c>
      <x:c r="N359" s="166" t="n">
        <x:v>963205.67</x:v>
      </x:c>
      <x:c r="O359" s="157" t="n">
        <x:v>0</x:v>
      </x:c>
      <x:c r="P359" s="157" t="str">
        <x:v>test</x:v>
      </x:c>
    </x:row>
    <x:row r="360">
      <x:c r="A360" s="157" t="str">
        <x:v>L025798</x:v>
      </x:c>
      <x:c r="B360" s="165" t="n">
        <x:v>44927</x:v>
      </x:c>
      <x:c r="C360" s="157" t="str">
        <x:v>Real_Estate</x:v>
      </x:c>
      <x:c r="D360" s="157" t="str">
        <x:v>bond</x:v>
      </x:c>
      <x:c r="E360" s="157" t="str">
        <x:v>partially_secured</x:v>
      </x:c>
      <x:c r="F360" s="157" t="str">
        <x:v>B</x:v>
      </x:c>
      <x:c r="G360" s="157" t="n">
        <x:v>667</x:v>
      </x:c>
      <x:c r="H360" s="166" t="n">
        <x:v>9160374.54</x:v>
      </x:c>
      <x:c r="I360" s="162" t="n">
        <x:v>0.4621</x:v>
      </x:c>
      <x:c r="J360" s="162" t="n">
        <x:v>0.227171</x:v>
      </x:c>
      <x:c r="K360" s="157" t="str">
        <x:v>High</x:v>
      </x:c>
      <x:c r="L360" s="157" t="n">
        <x:v>2</x:v>
      </x:c>
      <x:c r="M360" s="157" t="str">
        <x:v>Manual Review</x:v>
      </x:c>
      <x:c r="N360" s="166" t="n">
        <x:v>961616.9</x:v>
      </x:c>
      <x:c r="O360" s="157" t="n">
        <x:v>1</x:v>
      </x:c>
      <x:c r="P360" s="157" t="str">
        <x:v>test</x:v>
      </x:c>
    </x:row>
    <x:row r="361">
      <x:c r="A361" s="157" t="str">
        <x:v>L044945</x:v>
      </x:c>
      <x:c r="B361" s="165" t="n">
        <x:v>44743</x:v>
      </x:c>
      <x:c r="C361" s="157" t="str">
        <x:v>Energy</x:v>
      </x:c>
      <x:c r="D361" s="157" t="str">
        <x:v>lease</x:v>
      </x:c>
      <x:c r="E361" s="157" t="str">
        <x:v>unsecured</x:v>
      </x:c>
      <x:c r="F361" s="157" t="str">
        <x:v>BB</x:v>
      </x:c>
      <x:c r="G361" s="157" t="n">
        <x:v>708</x:v>
      </x:c>
      <x:c r="H361" s="166" t="n">
        <x:v>7374976.58</x:v>
      </x:c>
      <x:c r="I361" s="162" t="n">
        <x:v>0.6343</x:v>
      </x:c>
      <x:c r="J361" s="162" t="n">
        <x:v>0.205371</x:v>
      </x:c>
      <x:c r="K361" s="157" t="str">
        <x:v>High</x:v>
      </x:c>
      <x:c r="L361" s="157" t="n">
        <x:v>2</x:v>
      </x:c>
      <x:c r="M361" s="157" t="str">
        <x:v>Manual Review</x:v>
      </x:c>
      <x:c r="N361" s="166" t="n">
        <x:v>960714.79</x:v>
      </x:c>
      <x:c r="O361" s="157" t="n">
        <x:v>0</x:v>
      </x:c>
      <x:c r="P361" s="157" t="str">
        <x:v>test</x:v>
      </x:c>
    </x:row>
    <x:row r="362">
      <x:c r="A362" s="157" t="str">
        <x:v>L026808</x:v>
      </x:c>
      <x:c r="B362" s="165" t="n">
        <x:v>44774</x:v>
      </x:c>
      <x:c r="C362" s="157" t="str">
        <x:v>Industrials</x:v>
      </x:c>
      <x:c r="D362" s="157" t="str">
        <x:v>bond</x:v>
      </x:c>
      <x:c r="E362" s="157" t="str">
        <x:v>unsecured</x:v>
      </x:c>
      <x:c r="F362" s="157" t="str">
        <x:v>BB</x:v>
      </x:c>
      <x:c r="G362" s="157" t="n">
        <x:v>722</x:v>
      </x:c>
      <x:c r="H362" s="166" t="n">
        <x:v>7525416.61</x:v>
      </x:c>
      <x:c r="I362" s="162" t="n">
        <x:v>0.7071</x:v>
      </x:c>
      <x:c r="J362" s="162" t="n">
        <x:v>0.179376</x:v>
      </x:c>
      <x:c r="K362" s="157" t="str">
        <x:v>High</x:v>
      </x:c>
      <x:c r="L362" s="157" t="n">
        <x:v>3</x:v>
      </x:c>
      <x:c r="M362" s="157" t="str">
        <x:v>Manual Review</x:v>
      </x:c>
      <x:c r="N362" s="166" t="n">
        <x:v>954499.53</x:v>
      </x:c>
      <x:c r="O362" s="157" t="n">
        <x:v>0</x:v>
      </x:c>
      <x:c r="P362" s="157" t="str">
        <x:v>test</x:v>
      </x:c>
    </x:row>
    <x:row r="363">
      <x:c r="A363" s="157" t="str">
        <x:v>L027092</x:v>
      </x:c>
      <x:c r="B363" s="165" t="n">
        <x:v>45108</x:v>
      </x:c>
      <x:c r="C363" s="157" t="str">
        <x:v>Financials</x:v>
      </x:c>
      <x:c r="D363" s="157" t="str">
        <x:v>term_loan</x:v>
      </x:c>
      <x:c r="E363" s="157" t="str">
        <x:v>unsecured</x:v>
      </x:c>
      <x:c r="F363" s="157" t="str">
        <x:v>BB</x:v>
      </x:c>
      <x:c r="G363" s="157" t="n">
        <x:v>665</x:v>
      </x:c>
      <x:c r="H363" s="166" t="n">
        <x:v>6154108.19</x:v>
      </x:c>
      <x:c r="I363" s="162" t="n">
        <x:v>0.7805</x:v>
      </x:c>
      <x:c r="J363" s="162" t="n">
        <x:v>0.198694</x:v>
      </x:c>
      <x:c r="K363" s="157" t="str">
        <x:v>High</x:v>
      </x:c>
      <x:c r="L363" s="157" t="n">
        <x:v>3</x:v>
      </x:c>
      <x:c r="M363" s="157" t="str">
        <x:v>Manual Review</x:v>
      </x:c>
      <x:c r="N363" s="166" t="n">
        <x:v>954383.2</x:v>
      </x:c>
      <x:c r="O363" s="157" t="n">
        <x:v>0</x:v>
      </x:c>
      <x:c r="P363" s="157" t="str">
        <x:v>test</x:v>
      </x:c>
    </x:row>
    <x:row r="364">
      <x:c r="A364" s="157" t="str">
        <x:v>L027788</x:v>
      </x:c>
      <x:c r="B364" s="165" t="n">
        <x:v>44774</x:v>
      </x:c>
      <x:c r="C364" s="157" t="str">
        <x:v>Healthcare</x:v>
      </x:c>
      <x:c r="D364" s="157" t="str">
        <x:v>mortgage</x:v>
      </x:c>
      <x:c r="E364" s="157" t="str">
        <x:v>unsecured</x:v>
      </x:c>
      <x:c r="F364" s="157" t="str">
        <x:v>B</x:v>
      </x:c>
      <x:c r="G364" s="157" t="n">
        <x:v>680</x:v>
      </x:c>
      <x:c r="H364" s="166" t="n">
        <x:v>8106620.27</x:v>
      </x:c>
      <x:c r="I364" s="162" t="n">
        <x:v>0.5971</x:v>
      </x:c>
      <x:c r="J364" s="162" t="n">
        <x:v>0.197118</x:v>
      </x:c>
      <x:c r="K364" s="157" t="str">
        <x:v>High</x:v>
      </x:c>
      <x:c r="L364" s="157" t="n">
        <x:v>3</x:v>
      </x:c>
      <x:c r="M364" s="157" t="str">
        <x:v>Manual Review</x:v>
      </x:c>
      <x:c r="N364" s="166" t="n">
        <x:v>954142.38</x:v>
      </x:c>
      <x:c r="O364" s="157" t="n">
        <x:v>0</x:v>
      </x:c>
      <x:c r="P364" s="157" t="str">
        <x:v>test</x:v>
      </x:c>
    </x:row>
    <x:row r="365">
      <x:c r="A365" s="157" t="str">
        <x:v>L025221</x:v>
      </x:c>
      <x:c r="B365" s="165" t="n">
        <x:v>45261</x:v>
      </x:c>
      <x:c r="C365" s="157" t="str">
        <x:v>Real_Estate</x:v>
      </x:c>
      <x:c r="D365" s="157" t="str">
        <x:v>mortgage</x:v>
      </x:c>
      <x:c r="E365" s="157" t="str">
        <x:v>unsecured</x:v>
      </x:c>
      <x:c r="F365" s="157" t="str">
        <x:v>CCC</x:v>
      </x:c>
      <x:c r="G365" s="157" t="n">
        <x:v>622</x:v>
      </x:c>
      <x:c r="H365" s="166" t="n">
        <x:v>4268206.72</x:v>
      </x:c>
      <x:c r="I365" s="162" t="n">
        <x:v>0.5411</x:v>
      </x:c>
      <x:c r="J365" s="162" t="n">
        <x:v>0.412921</x:v>
      </x:c>
      <x:c r="K365" s="157" t="str">
        <x:v>Very High</x:v>
      </x:c>
      <x:c r="L365" s="157" t="n">
        <x:v>1</x:v>
      </x:c>
      <x:c r="M365" s="157" t="str">
        <x:v>Manual Review</x:v>
      </x:c>
      <x:c r="N365" s="166" t="n">
        <x:v>953652.06</x:v>
      </x:c>
      <x:c r="O365" s="157" t="n">
        <x:v>1</x:v>
      </x:c>
      <x:c r="P365" s="157" t="str">
        <x:v>test</x:v>
      </x:c>
    </x:row>
    <x:row r="366">
      <x:c r="A366" s="157" t="str">
        <x:v>L036611</x:v>
      </x:c>
      <x:c r="B366" s="165" t="n">
        <x:v>44835</x:v>
      </x:c>
      <x:c r="C366" s="157" t="str">
        <x:v>Utilities</x:v>
      </x:c>
      <x:c r="D366" s="157" t="str">
        <x:v>term_loan</x:v>
      </x:c>
      <x:c r="E366" s="157" t="str">
        <x:v>partially_secured</x:v>
      </x:c>
      <x:c r="F366" s="157" t="str">
        <x:v>BB</x:v>
      </x:c>
      <x:c r="G366" s="157" t="n">
        <x:v>720</x:v>
      </x:c>
      <x:c r="H366" s="166" t="n">
        <x:v>12104533.72</x:v>
      </x:c>
      <x:c r="I366" s="162" t="n">
        <x:v>0.4223</x:v>
      </x:c>
      <x:c r="J366" s="162" t="n">
        <x:v>0.186539</x:v>
      </x:c>
      <x:c r="K366" s="157" t="str">
        <x:v>High</x:v>
      </x:c>
      <x:c r="L366" s="157" t="n">
        <x:v>3</x:v>
      </x:c>
      <x:c r="M366" s="157" t="str">
        <x:v>Manual Review</x:v>
      </x:c>
      <x:c r="N366" s="166" t="n">
        <x:v>953539.72</x:v>
      </x:c>
      <x:c r="O366" s="157" t="n">
        <x:v>0</x:v>
      </x:c>
      <x:c r="P366" s="157" t="str">
        <x:v>test</x:v>
      </x:c>
    </x:row>
    <x:row r="367">
      <x:c r="A367" s="157" t="str">
        <x:v>L015146</x:v>
      </x:c>
      <x:c r="B367" s="165" t="n">
        <x:v>45047</x:v>
      </x:c>
      <x:c r="C367" s="157" t="str">
        <x:v>Healthcare</x:v>
      </x:c>
      <x:c r="D367" s="157" t="str">
        <x:v>mortgage</x:v>
      </x:c>
      <x:c r="E367" s="157" t="str">
        <x:v>unsecured</x:v>
      </x:c>
      <x:c r="F367" s="157" t="str">
        <x:v>CCC</x:v>
      </x:c>
      <x:c r="G367" s="157" t="n">
        <x:v>631</x:v>
      </x:c>
      <x:c r="H367" s="166" t="n">
        <x:v>3152239.74</x:v>
      </x:c>
      <x:c r="I367" s="162" t="n">
        <x:v>0.7165</x:v>
      </x:c>
      <x:c r="J367" s="162" t="n">
        <x:v>0.421748</x:v>
      </x:c>
      <x:c r="K367" s="157" t="str">
        <x:v>Very High</x:v>
      </x:c>
      <x:c r="L367" s="157" t="n">
        <x:v>1</x:v>
      </x:c>
      <x:c r="M367" s="157" t="str">
        <x:v>Manual Review</x:v>
      </x:c>
      <x:c r="N367" s="166" t="n">
        <x:v>952551.5</x:v>
      </x:c>
      <x:c r="O367" s="157" t="n">
        <x:v>1</x:v>
      </x:c>
      <x:c r="P367" s="157" t="str">
        <x:v>test</x:v>
      </x:c>
    </x:row>
    <x:row r="368">
      <x:c r="A368" s="157" t="str">
        <x:v>L038946</x:v>
      </x:c>
      <x:c r="B368" s="165" t="n">
        <x:v>44774</x:v>
      </x:c>
      <x:c r="C368" s="157" t="str">
        <x:v>Telecom</x:v>
      </x:c>
      <x:c r="D368" s="157" t="str">
        <x:v>mortgage</x:v>
      </x:c>
      <x:c r="E368" s="157" t="str">
        <x:v>unsecured</x:v>
      </x:c>
      <x:c r="F368" s="157" t="str">
        <x:v>CCC</x:v>
      </x:c>
      <x:c r="G368" s="157" t="n">
        <x:v>687</x:v>
      </x:c>
      <x:c r="H368" s="166" t="n">
        <x:v>4845326.54</x:v>
      </x:c>
      <x:c r="I368" s="162" t="n">
        <x:v>0.5538</x:v>
      </x:c>
      <x:c r="J368" s="162" t="n">
        <x:v>0.354519</x:v>
      </x:c>
      <x:c r="K368" s="157" t="str">
        <x:v>Very High</x:v>
      </x:c>
      <x:c r="L368" s="157" t="n">
        <x:v>1</x:v>
      </x:c>
      <x:c r="M368" s="157" t="str">
        <x:v>Manual Review</x:v>
      </x:c>
      <x:c r="N368" s="166" t="n">
        <x:v>951295.67</x:v>
      </x:c>
      <x:c r="O368" s="157" t="n">
        <x:v>1</x:v>
      </x:c>
      <x:c r="P368" s="157" t="str">
        <x:v>test</x:v>
      </x:c>
    </x:row>
    <x:row r="369">
      <x:c r="A369" s="157" t="str">
        <x:v>L023338</x:v>
      </x:c>
      <x:c r="B369" s="165" t="n">
        <x:v>45017</x:v>
      </x:c>
      <x:c r="C369" s="157" t="str">
        <x:v>Technology</x:v>
      </x:c>
      <x:c r="D369" s="157" t="str">
        <x:v>revolving</x:v>
      </x:c>
      <x:c r="E369" s="157" t="str">
        <x:v>secured</x:v>
      </x:c>
      <x:c r="F369" s="157" t="str">
        <x:v>B</x:v>
      </x:c>
      <x:c r="G369" s="157" t="n">
        <x:v>667</x:v>
      </x:c>
      <x:c r="H369" s="166" t="n">
        <x:v>7923525.98</x:v>
      </x:c>
      <x:c r="I369" s="162" t="n">
        <x:v>0.622</x:v>
      </x:c>
      <x:c r="J369" s="162" t="n">
        <x:v>0.192791</x:v>
      </x:c>
      <x:c r="K369" s="157" t="str">
        <x:v>High</x:v>
      </x:c>
      <x:c r="L369" s="157" t="n">
        <x:v>3</x:v>
      </x:c>
      <x:c r="M369" s="157" t="str">
        <x:v>Manual Review</x:v>
      </x:c>
      <x:c r="N369" s="166" t="n">
        <x:v>950157.56</x:v>
      </x:c>
      <x:c r="O369" s="157" t="n">
        <x:v>0</x:v>
      </x:c>
      <x:c r="P369" s="157" t="str">
        <x:v>test</x:v>
      </x:c>
    </x:row>
    <x:row r="370">
      <x:c r="A370" s="157" t="str">
        <x:v>L022924</x:v>
      </x:c>
      <x:c r="B370" s="165" t="n">
        <x:v>44835</x:v>
      </x:c>
      <x:c r="C370" s="157" t="str">
        <x:v>Real_Estate</x:v>
      </x:c>
      <x:c r="D370" s="157" t="str">
        <x:v>revolving</x:v>
      </x:c>
      <x:c r="E370" s="157" t="str">
        <x:v>unsecured</x:v>
      </x:c>
      <x:c r="F370" s="157" t="str">
        <x:v>B</x:v>
      </x:c>
      <x:c r="G370" s="157" t="n">
        <x:v>681</x:v>
      </x:c>
      <x:c r="H370" s="166" t="n">
        <x:v>6259167.7</x:v>
      </x:c>
      <x:c r="I370" s="162" t="n">
        <x:v>0.5982</x:v>
      </x:c>
      <x:c r="J370" s="162" t="n">
        <x:v>0.253289</x:v>
      </x:c>
      <x:c r="K370" s="157" t="str">
        <x:v>High</x:v>
      </x:c>
      <x:c r="L370" s="157" t="n">
        <x:v>2</x:v>
      </x:c>
      <x:c r="M370" s="157" t="str">
        <x:v>Manual Review</x:v>
      </x:c>
      <x:c r="N370" s="166" t="n">
        <x:v>948373.32</x:v>
      </x:c>
      <x:c r="O370" s="157" t="n">
        <x:v>1</x:v>
      </x:c>
      <x:c r="P370" s="157" t="str">
        <x:v>test</x:v>
      </x:c>
    </x:row>
    <x:row r="371">
      <x:c r="A371" s="157" t="str">
        <x:v>L040219</x:v>
      </x:c>
      <x:c r="B371" s="165" t="n">
        <x:v>44896</x:v>
      </x:c>
      <x:c r="C371" s="157" t="str">
        <x:v>Energy</x:v>
      </x:c>
      <x:c r="D371" s="157" t="str">
        <x:v>mortgage</x:v>
      </x:c>
      <x:c r="E371" s="157" t="str">
        <x:v>secured</x:v>
      </x:c>
      <x:c r="F371" s="157" t="str">
        <x:v>CCC</x:v>
      </x:c>
      <x:c r="G371" s="157" t="n">
        <x:v>593</x:v>
      </x:c>
      <x:c r="H371" s="166" t="n">
        <x:v>9994407.84</x:v>
      </x:c>
      <x:c r="I371" s="162" t="n">
        <x:v>0.2818</x:v>
      </x:c>
      <x:c r="J371" s="162" t="n">
        <x:v>0.336456</x:v>
      </x:c>
      <x:c r="K371" s="157" t="str">
        <x:v>Very High</x:v>
      </x:c>
      <x:c r="L371" s="157" t="n">
        <x:v>1</x:v>
      </x:c>
      <x:c r="M371" s="157" t="str">
        <x:v>Manual Review</x:v>
      </x:c>
      <x:c r="N371" s="166" t="n">
        <x:v>947602.8</x:v>
      </x:c>
      <x:c r="O371" s="157" t="n">
        <x:v>0</x:v>
      </x:c>
      <x:c r="P371" s="157" t="str">
        <x:v>test</x:v>
      </x:c>
    </x:row>
    <x:row r="372">
      <x:c r="A372" s="157" t="str">
        <x:v>L010186</x:v>
      </x:c>
      <x:c r="B372" s="165" t="n">
        <x:v>44593</x:v>
      </x:c>
      <x:c r="C372" s="157" t="str">
        <x:v>Real_Estate</x:v>
      </x:c>
      <x:c r="D372" s="157" t="str">
        <x:v>term_loan</x:v>
      </x:c>
      <x:c r="E372" s="157" t="str">
        <x:v>partially_secured</x:v>
      </x:c>
      <x:c r="F372" s="157" t="str">
        <x:v>B</x:v>
      </x:c>
      <x:c r="G372" s="157" t="n">
        <x:v>654</x:v>
      </x:c>
      <x:c r="H372" s="166" t="n">
        <x:v>8030688.49</x:v>
      </x:c>
      <x:c r="I372" s="162" t="n">
        <x:v>0.4704</x:v>
      </x:c>
      <x:c r="J372" s="162" t="n">
        <x:v>0.250384</x:v>
      </x:c>
      <x:c r="K372" s="157" t="str">
        <x:v>High</x:v>
      </x:c>
      <x:c r="L372" s="157" t="n">
        <x:v>2</x:v>
      </x:c>
      <x:c r="M372" s="157" t="str">
        <x:v>Manual Review</x:v>
      </x:c>
      <x:c r="N372" s="166" t="n">
        <x:v>945859.58</x:v>
      </x:c>
      <x:c r="O372" s="157" t="n">
        <x:v>0</x:v>
      </x:c>
      <x:c r="P372" s="157" t="str">
        <x:v>test</x:v>
      </x:c>
    </x:row>
    <x:row r="373">
      <x:c r="A373" s="157" t="str">
        <x:v>L006117</x:v>
      </x:c>
      <x:c r="B373" s="165" t="n">
        <x:v>44958</x:v>
      </x:c>
      <x:c r="C373" s="157" t="str">
        <x:v>Telecom</x:v>
      </x:c>
      <x:c r="D373" s="157" t="str">
        <x:v>bond</x:v>
      </x:c>
      <x:c r="E373" s="157" t="str">
        <x:v>unsecured</x:v>
      </x:c>
      <x:c r="F373" s="157" t="str">
        <x:v>B</x:v>
      </x:c>
      <x:c r="G373" s="157" t="n">
        <x:v>627</x:v>
      </x:c>
      <x:c r="H373" s="166" t="n">
        <x:v>5565259.92</x:v>
      </x:c>
      <x:c r="I373" s="162" t="n">
        <x:v>0.6841</x:v>
      </x:c>
      <x:c r="J373" s="162" t="n">
        <x:v>0.248327</x:v>
      </x:c>
      <x:c r="K373" s="157" t="str">
        <x:v>High</x:v>
      </x:c>
      <x:c r="L373" s="157" t="n">
        <x:v>2</x:v>
      </x:c>
      <x:c r="M373" s="157" t="str">
        <x:v>Manual Review</x:v>
      </x:c>
      <x:c r="N373" s="166" t="n">
        <x:v>945429.14</x:v>
      </x:c>
      <x:c r="O373" s="157" t="n">
        <x:v>0</x:v>
      </x:c>
      <x:c r="P373" s="157" t="str">
        <x:v>test</x:v>
      </x:c>
    </x:row>
    <x:row r="374">
      <x:c r="A374" s="157" t="str">
        <x:v>L035201</x:v>
      </x:c>
      <x:c r="B374" s="165" t="n">
        <x:v>44743</x:v>
      </x:c>
      <x:c r="C374" s="157" t="str">
        <x:v>Healthcare</x:v>
      </x:c>
      <x:c r="D374" s="157" t="str">
        <x:v>lease</x:v>
      </x:c>
      <x:c r="E374" s="157" t="str">
        <x:v>unsecured</x:v>
      </x:c>
      <x:c r="F374" s="157" t="str">
        <x:v>CCC</x:v>
      </x:c>
      <x:c r="G374" s="157" t="n">
        <x:v>670</x:v>
      </x:c>
      <x:c r="H374" s="166" t="n">
        <x:v>3744933.81</x:v>
      </x:c>
      <x:c r="I374" s="162" t="n">
        <x:v>0.5379</x:v>
      </x:c>
      <x:c r="J374" s="162" t="n">
        <x:v>0.467378</x:v>
      </x:c>
      <x:c r="K374" s="157" t="str">
        <x:v>Very High</x:v>
      </x:c>
      <x:c r="L374" s="157" t="n">
        <x:v>1</x:v>
      </x:c>
      <x:c r="M374" s="157" t="str">
        <x:v>Manual Review</x:v>
      </x:c>
      <x:c r="N374" s="166" t="n">
        <x:v>941486.19</x:v>
      </x:c>
      <x:c r="O374" s="157" t="n">
        <x:v>1</x:v>
      </x:c>
      <x:c r="P374" s="157" t="str">
        <x:v>test</x:v>
      </x:c>
    </x:row>
    <x:row r="375">
      <x:c r="A375" s="157" t="str">
        <x:v>L036122</x:v>
      </x:c>
      <x:c r="B375" s="165" t="n">
        <x:v>44805</x:v>
      </x:c>
      <x:c r="C375" s="157" t="str">
        <x:v>Energy</x:v>
      </x:c>
      <x:c r="D375" s="157" t="str">
        <x:v>mortgage</x:v>
      </x:c>
      <x:c r="E375" s="157" t="str">
        <x:v>secured</x:v>
      </x:c>
      <x:c r="F375" s="157" t="str">
        <x:v>CCC</x:v>
      </x:c>
      <x:c r="G375" s="157" t="n">
        <x:v>693</x:v>
      </x:c>
      <x:c r="H375" s="166" t="n">
        <x:v>11791683.98</x:v>
      </x:c>
      <x:c r="I375" s="162" t="n">
        <x:v>0.3611</x:v>
      </x:c>
      <x:c r="J375" s="162" t="n">
        <x:v>0.220857</x:v>
      </x:c>
      <x:c r="K375" s="157" t="str">
        <x:v>High</x:v>
      </x:c>
      <x:c r="L375" s="157" t="n">
        <x:v>2</x:v>
      </x:c>
      <x:c r="M375" s="157" t="str">
        <x:v>Manual Review</x:v>
      </x:c>
      <x:c r="N375" s="166" t="n">
        <x:v>940404.05</x:v>
      </x:c>
      <x:c r="O375" s="157" t="n">
        <x:v>1</x:v>
      </x:c>
      <x:c r="P375" s="157" t="str">
        <x:v>test</x:v>
      </x:c>
    </x:row>
    <x:row r="376">
      <x:c r="A376" s="157" t="str">
        <x:v>L042012</x:v>
      </x:c>
      <x:c r="B376" s="165" t="n">
        <x:v>44958</x:v>
      </x:c>
      <x:c r="C376" s="157" t="str">
        <x:v>Telecom</x:v>
      </x:c>
      <x:c r="D376" s="157" t="str">
        <x:v>revolving</x:v>
      </x:c>
      <x:c r="E376" s="157" t="str">
        <x:v>secured</x:v>
      </x:c>
      <x:c r="F376" s="157" t="str">
        <x:v>BBB</x:v>
      </x:c>
      <x:c r="G376" s="157" t="n">
        <x:v>747</x:v>
      </x:c>
      <x:c r="H376" s="166" t="n">
        <x:v>14809720.67</x:v>
      </x:c>
      <x:c r="I376" s="162" t="n">
        <x:v>0.3584</x:v>
      </x:c>
      <x:c r="J376" s="162" t="n">
        <x:v>0.177123</x:v>
      </x:c>
      <x:c r="K376" s="157" t="str">
        <x:v>High</x:v>
      </x:c>
      <x:c r="L376" s="157" t="n">
        <x:v>4</x:v>
      </x:c>
      <x:c r="M376" s="157" t="str">
        <x:v>Manual Review</x:v>
      </x:c>
      <x:c r="N376" s="166" t="n">
        <x:v>940134.15</x:v>
      </x:c>
      <x:c r="O376" s="157" t="n">
        <x:v>0</x:v>
      </x:c>
      <x:c r="P376" s="157" t="str">
        <x:v>test</x:v>
      </x:c>
    </x:row>
    <x:row r="377">
      <x:c r="A377" s="157" t="str">
        <x:v>L014536</x:v>
      </x:c>
      <x:c r="B377" s="165" t="n">
        <x:v>44986</x:v>
      </x:c>
      <x:c r="C377" s="157" t="str">
        <x:v>Real_Estate</x:v>
      </x:c>
      <x:c r="D377" s="157" t="str">
        <x:v>mortgage</x:v>
      </x:c>
      <x:c r="E377" s="157" t="str">
        <x:v>partially_secured</x:v>
      </x:c>
      <x:c r="F377" s="157" t="str">
        <x:v>B</x:v>
      </x:c>
      <x:c r="G377" s="157" t="n">
        <x:v>700</x:v>
      </x:c>
      <x:c r="H377" s="166" t="n">
        <x:v>6415139.01</x:v>
      </x:c>
      <x:c r="I377" s="162" t="n">
        <x:v>0.6292</x:v>
      </x:c>
      <x:c r="J377" s="162" t="n">
        <x:v>0.230691</x:v>
      </x:c>
      <x:c r="K377" s="157" t="str">
        <x:v>High</x:v>
      </x:c>
      <x:c r="L377" s="157" t="n">
        <x:v>2</x:v>
      </x:c>
      <x:c r="M377" s="157" t="str">
        <x:v>Manual Review</x:v>
      </x:c>
      <x:c r="N377" s="166" t="n">
        <x:v>931162.41</x:v>
      </x:c>
      <x:c r="O377" s="157" t="n">
        <x:v>0</x:v>
      </x:c>
      <x:c r="P377" s="157" t="str">
        <x:v>test</x:v>
      </x:c>
    </x:row>
    <x:row r="378">
      <x:c r="A378" s="157" t="str">
        <x:v>L036410</x:v>
      </x:c>
      <x:c r="B378" s="165" t="n">
        <x:v>44986</x:v>
      </x:c>
      <x:c r="C378" s="157" t="str">
        <x:v>Healthcare</x:v>
      </x:c>
      <x:c r="D378" s="157" t="str">
        <x:v>revolving</x:v>
      </x:c>
      <x:c r="E378" s="157" t="str">
        <x:v>unsecured</x:v>
      </x:c>
      <x:c r="F378" s="157" t="str">
        <x:v>CCC</x:v>
      </x:c>
      <x:c r="G378" s="157" t="n">
        <x:v>634</x:v>
      </x:c>
      <x:c r="H378" s="166" t="n">
        <x:v>3433709.35</x:v>
      </x:c>
      <x:c r="I378" s="162" t="n">
        <x:v>0.6894</x:v>
      </x:c>
      <x:c r="J378" s="162" t="n">
        <x:v>0.390178</x:v>
      </x:c>
      <x:c r="K378" s="157" t="str">
        <x:v>Very High</x:v>
      </x:c>
      <x:c r="L378" s="157" t="n">
        <x:v>1</x:v>
      </x:c>
      <x:c r="M378" s="157" t="str">
        <x:v>Manual Review</x:v>
      </x:c>
      <x:c r="N378" s="166" t="n">
        <x:v>923629.06</x:v>
      </x:c>
      <x:c r="O378" s="157" t="n">
        <x:v>1</x:v>
      </x:c>
      <x:c r="P378" s="157" t="str">
        <x:v>test</x:v>
      </x:c>
    </x:row>
    <x:row r="379">
      <x:c r="A379" s="157" t="str">
        <x:v>L027292</x:v>
      </x:c>
      <x:c r="B379" s="165" t="n">
        <x:v>44682</x:v>
      </x:c>
      <x:c r="C379" s="157" t="str">
        <x:v>Utilities</x:v>
      </x:c>
      <x:c r="D379" s="157" t="str">
        <x:v>bond</x:v>
      </x:c>
      <x:c r="E379" s="157" t="str">
        <x:v>unsecured</x:v>
      </x:c>
      <x:c r="F379" s="157" t="str">
        <x:v>BB</x:v>
      </x:c>
      <x:c r="G379" s="157" t="n">
        <x:v>729</x:v>
      </x:c>
      <x:c r="H379" s="166" t="n">
        <x:v>8225347.18</x:v>
      </x:c>
      <x:c r="I379" s="162" t="n">
        <x:v>0.5872</x:v>
      </x:c>
      <x:c r="J379" s="162" t="n">
        <x:v>0.190686</x:v>
      </x:c>
      <x:c r="K379" s="157" t="str">
        <x:v>High</x:v>
      </x:c>
      <x:c r="L379" s="157" t="n">
        <x:v>3</x:v>
      </x:c>
      <x:c r="M379" s="157" t="str">
        <x:v>Manual Review</x:v>
      </x:c>
      <x:c r="N379" s="166" t="n">
        <x:v>920998.86</x:v>
      </x:c>
      <x:c r="O379" s="157" t="n">
        <x:v>0</x:v>
      </x:c>
      <x:c r="P379" s="157" t="str">
        <x:v>test</x:v>
      </x:c>
    </x:row>
    <x:row r="380">
      <x:c r="A380" s="157" t="str">
        <x:v>L016706</x:v>
      </x:c>
      <x:c r="B380" s="165" t="n">
        <x:v>45231</x:v>
      </x:c>
      <x:c r="C380" s="157" t="str">
        <x:v>Technology</x:v>
      </x:c>
      <x:c r="D380" s="157" t="str">
        <x:v>mortgage</x:v>
      </x:c>
      <x:c r="E380" s="157" t="str">
        <x:v>secured</x:v>
      </x:c>
      <x:c r="F380" s="157" t="str">
        <x:v>CCC</x:v>
      </x:c>
      <x:c r="G380" s="157" t="n">
        <x:v>710</x:v>
      </x:c>
      <x:c r="H380" s="166" t="n">
        <x:v>5271127.91</x:v>
      </x:c>
      <x:c r="I380" s="162" t="n">
        <x:v>0.4737</x:v>
      </x:c>
      <x:c r="J380" s="162" t="n">
        <x:v>0.368293</x:v>
      </x:c>
      <x:c r="K380" s="157" t="str">
        <x:v>Very High</x:v>
      </x:c>
      <x:c r="L380" s="157" t="n">
        <x:v>1</x:v>
      </x:c>
      <x:c r="M380" s="157" t="str">
        <x:v>Manual Review</x:v>
      </x:c>
      <x:c r="N380" s="166" t="n">
        <x:v>919603.05</x:v>
      </x:c>
      <x:c r="O380" s="157" t="n">
        <x:v>1</x:v>
      </x:c>
      <x:c r="P380" s="157" t="str">
        <x:v>test</x:v>
      </x:c>
    </x:row>
    <x:row r="381">
      <x:c r="A381" s="157" t="str">
        <x:v>L009598</x:v>
      </x:c>
      <x:c r="B381" s="165" t="n">
        <x:v>44743</x:v>
      </x:c>
      <x:c r="C381" s="157" t="str">
        <x:v>Real_Estate</x:v>
      </x:c>
      <x:c r="D381" s="157" t="str">
        <x:v>term_loan</x:v>
      </x:c>
      <x:c r="E381" s="157" t="str">
        <x:v>unsecured</x:v>
      </x:c>
      <x:c r="F381" s="157" t="str">
        <x:v>CCC</x:v>
      </x:c>
      <x:c r="G381" s="157" t="n">
        <x:v>669</x:v>
      </x:c>
      <x:c r="H381" s="166" t="n">
        <x:v>3503527.14</x:v>
      </x:c>
      <x:c r="I381" s="162" t="n">
        <x:v>0.5772</x:v>
      </x:c>
      <x:c r="J381" s="162" t="n">
        <x:v>0.454686</x:v>
      </x:c>
      <x:c r="K381" s="157" t="str">
        <x:v>Very High</x:v>
      </x:c>
      <x:c r="L381" s="157" t="n">
        <x:v>1</x:v>
      </x:c>
      <x:c r="M381" s="157" t="str">
        <x:v>Manual Review</x:v>
      </x:c>
      <x:c r="N381" s="166" t="n">
        <x:v>919482.34</x:v>
      </x:c>
      <x:c r="O381" s="157" t="n">
        <x:v>0</x:v>
      </x:c>
      <x:c r="P381" s="157" t="str">
        <x:v>test</x:v>
      </x:c>
    </x:row>
    <x:row r="382">
      <x:c r="A382" s="157" t="str">
        <x:v>L012130</x:v>
      </x:c>
      <x:c r="B382" s="165" t="n">
        <x:v>44805</x:v>
      </x:c>
      <x:c r="C382" s="157" t="str">
        <x:v>Financials</x:v>
      </x:c>
      <x:c r="D382" s="157" t="str">
        <x:v>term_loan</x:v>
      </x:c>
      <x:c r="E382" s="157" t="str">
        <x:v>partially_secured</x:v>
      </x:c>
      <x:c r="F382" s="157" t="str">
        <x:v>CCC</x:v>
      </x:c>
      <x:c r="G382" s="157" t="n">
        <x:v>640</x:v>
      </x:c>
      <x:c r="H382" s="166" t="n">
        <x:v>4308487.64</x:v>
      </x:c>
      <x:c r="I382" s="162" t="n">
        <x:v>0.5947</x:v>
      </x:c>
      <x:c r="J382" s="162" t="n">
        <x:v>0.358296</x:v>
      </x:c>
      <x:c r="K382" s="157" t="str">
        <x:v>Very High</x:v>
      </x:c>
      <x:c r="L382" s="157" t="n">
        <x:v>1</x:v>
      </x:c>
      <x:c r="M382" s="157" t="str">
        <x:v>Manual Review</x:v>
      </x:c>
      <x:c r="N382" s="166" t="n">
        <x:v>918046.65</x:v>
      </x:c>
      <x:c r="O382" s="157" t="n">
        <x:v>0</x:v>
      </x:c>
      <x:c r="P382" s="157" t="str">
        <x:v>test</x:v>
      </x:c>
    </x:row>
    <x:row r="383">
      <x:c r="A383" s="157" t="str">
        <x:v>L043526</x:v>
      </x:c>
      <x:c r="B383" s="165" t="n">
        <x:v>45200</x:v>
      </x:c>
      <x:c r="C383" s="157" t="str">
        <x:v>Telecom</x:v>
      </x:c>
      <x:c r="D383" s="157" t="str">
        <x:v>mortgage</x:v>
      </x:c>
      <x:c r="E383" s="157" t="str">
        <x:v>unsecured</x:v>
      </x:c>
      <x:c r="F383" s="157" t="str">
        <x:v>B</x:v>
      </x:c>
      <x:c r="G383" s="157" t="n">
        <x:v>694</x:v>
      </x:c>
      <x:c r="H383" s="166" t="n">
        <x:v>6211342.41</x:v>
      </x:c>
      <x:c r="I383" s="162" t="n">
        <x:v>0.764</x:v>
      </x:c>
      <x:c r="J383" s="162" t="n">
        <x:v>0.192812</x:v>
      </x:c>
      <x:c r="K383" s="157" t="str">
        <x:v>High</x:v>
      </x:c>
      <x:c r="L383" s="157" t="n">
        <x:v>3</x:v>
      </x:c>
      <x:c r="M383" s="157" t="str">
        <x:v>Manual Review</x:v>
      </x:c>
      <x:c r="N383" s="166" t="n">
        <x:v>914982.71</x:v>
      </x:c>
      <x:c r="O383" s="157" t="n">
        <x:v>0</x:v>
      </x:c>
      <x:c r="P383" s="157" t="str">
        <x:v>test</x:v>
      </x:c>
    </x:row>
    <x:row r="384">
      <x:c r="A384" s="157" t="str">
        <x:v>L027340</x:v>
      </x:c>
      <x:c r="B384" s="165" t="n">
        <x:v>44835</x:v>
      </x:c>
      <x:c r="C384" s="157" t="str">
        <x:v>Real_Estate</x:v>
      </x:c>
      <x:c r="D384" s="157" t="str">
        <x:v>mortgage</x:v>
      </x:c>
      <x:c r="E384" s="157" t="str">
        <x:v>secured</x:v>
      </x:c>
      <x:c r="F384" s="157" t="str">
        <x:v>B</x:v>
      </x:c>
      <x:c r="G384" s="157" t="n">
        <x:v>663</x:v>
      </x:c>
      <x:c r="H384" s="166" t="n">
        <x:v>8379300.19</x:v>
      </x:c>
      <x:c r="I384" s="162" t="n">
        <x:v>0.466</x:v>
      </x:c>
      <x:c r="J384" s="162" t="n">
        <x:v>0.233918</x:v>
      </x:c>
      <x:c r="K384" s="157" t="str">
        <x:v>High</x:v>
      </x:c>
      <x:c r="L384" s="157" t="n">
        <x:v>2</x:v>
      </x:c>
      <x:c r="M384" s="157" t="str">
        <x:v>Manual Review</x:v>
      </x:c>
      <x:c r="N384" s="166" t="n">
        <x:v>913392.22</x:v>
      </x:c>
      <x:c r="O384" s="157" t="n">
        <x:v>0</x:v>
      </x:c>
      <x:c r="P384" s="157" t="str">
        <x:v>test</x:v>
      </x:c>
    </x:row>
    <x:row r="385">
      <x:c r="A385" s="157" t="str">
        <x:v>L008449</x:v>
      </x:c>
      <x:c r="B385" s="165" t="n">
        <x:v>44986</x:v>
      </x:c>
      <x:c r="C385" s="157" t="str">
        <x:v>Real_Estate</x:v>
      </x:c>
      <x:c r="D385" s="157" t="str">
        <x:v>lease</x:v>
      </x:c>
      <x:c r="E385" s="157" t="str">
        <x:v>unsecured</x:v>
      </x:c>
      <x:c r="F385" s="157" t="str">
        <x:v>B</x:v>
      </x:c>
      <x:c r="G385" s="157" t="n">
        <x:v>617</x:v>
      </x:c>
      <x:c r="H385" s="166" t="n">
        <x:v>6290662.33</x:v>
      </x:c>
      <x:c r="I385" s="162" t="n">
        <x:v>0.5406</x:v>
      </x:c>
      <x:c r="J385" s="162" t="n">
        <x:v>0.268472</x:v>
      </x:c>
      <x:c r="K385" s="157" t="str">
        <x:v>High</x:v>
      </x:c>
      <x:c r="L385" s="157" t="n">
        <x:v>2</x:v>
      </x:c>
      <x:c r="M385" s="157" t="str">
        <x:v>Manual Review</x:v>
      </x:c>
      <x:c r="N385" s="166" t="n">
        <x:v>913001.34</x:v>
      </x:c>
      <x:c r="O385" s="157" t="n">
        <x:v>0</x:v>
      </x:c>
      <x:c r="P385" s="157" t="str">
        <x:v>test</x:v>
      </x:c>
    </x:row>
    <x:row r="386">
      <x:c r="A386" s="157" t="str">
        <x:v>L027636</x:v>
      </x:c>
      <x:c r="B386" s="165" t="n">
        <x:v>44593</x:v>
      </x:c>
      <x:c r="C386" s="157" t="str">
        <x:v>Real_Estate</x:v>
      </x:c>
      <x:c r="D386" s="157" t="str">
        <x:v>term_loan</x:v>
      </x:c>
      <x:c r="E386" s="157" t="str">
        <x:v>secured</x:v>
      </x:c>
      <x:c r="F386" s="157" t="str">
        <x:v>B</x:v>
      </x:c>
      <x:c r="G386" s="157" t="n">
        <x:v>713</x:v>
      </x:c>
      <x:c r="H386" s="166" t="n">
        <x:v>10641634.24</x:v>
      </x:c>
      <x:c r="I386" s="162" t="n">
        <x:v>0.4258</x:v>
      </x:c>
      <x:c r="J386" s="162" t="n">
        <x:v>0.201411</x:v>
      </x:c>
      <x:c r="K386" s="157" t="str">
        <x:v>High</x:v>
      </x:c>
      <x:c r="L386" s="157" t="n">
        <x:v>3</x:v>
      </x:c>
      <x:c r="M386" s="157" t="str">
        <x:v>Manual Review</x:v>
      </x:c>
      <x:c r="N386" s="166" t="n">
        <x:v>912635.11</x:v>
      </x:c>
      <x:c r="O386" s="157" t="n">
        <x:v>0</x:v>
      </x:c>
      <x:c r="P386" s="157" t="str">
        <x:v>test</x:v>
      </x:c>
    </x:row>
    <x:row r="387">
      <x:c r="A387" s="157" t="str">
        <x:v>L040456</x:v>
      </x:c>
      <x:c r="B387" s="165" t="n">
        <x:v>45047</x:v>
      </x:c>
      <x:c r="C387" s="157" t="str">
        <x:v>Industrials</x:v>
      </x:c>
      <x:c r="D387" s="157" t="str">
        <x:v>term_loan</x:v>
      </x:c>
      <x:c r="E387" s="157" t="str">
        <x:v>secured</x:v>
      </x:c>
      <x:c r="F387" s="157" t="str">
        <x:v>CCC</x:v>
      </x:c>
      <x:c r="G387" s="157" t="n">
        <x:v>621</x:v>
      </x:c>
      <x:c r="H387" s="166" t="n">
        <x:v>4530567.28</x:v>
      </x:c>
      <x:c r="I387" s="162" t="n">
        <x:v>0.4433</x:v>
      </x:c>
      <x:c r="J387" s="162" t="n">
        <x:v>0.45396</x:v>
      </x:c>
      <x:c r="K387" s="157" t="str">
        <x:v>Very High</x:v>
      </x:c>
      <x:c r="L387" s="157" t="n">
        <x:v>1</x:v>
      </x:c>
      <x:c r="M387" s="157" t="str">
        <x:v>Manual Review</x:v>
      </x:c>
      <x:c r="N387" s="166" t="n">
        <x:v>911733.48</x:v>
      </x:c>
      <x:c r="O387" s="157" t="n">
        <x:v>1</x:v>
      </x:c>
      <x:c r="P387" s="157" t="str">
        <x:v>test</x:v>
      </x:c>
    </x:row>
    <x:row r="388">
      <x:c r="A388" s="157" t="str">
        <x:v>L019884</x:v>
      </x:c>
      <x:c r="B388" s="165" t="n">
        <x:v>44774</x:v>
      </x:c>
      <x:c r="C388" s="157" t="str">
        <x:v>Industrials</x:v>
      </x:c>
      <x:c r="D388" s="157" t="str">
        <x:v>mortgage</x:v>
      </x:c>
      <x:c r="E388" s="157" t="str">
        <x:v>secured</x:v>
      </x:c>
      <x:c r="F388" s="157" t="str">
        <x:v>BB</x:v>
      </x:c>
      <x:c r="G388" s="157" t="n">
        <x:v>705</x:v>
      </x:c>
      <x:c r="H388" s="166" t="n">
        <x:v>9564437.67</x:v>
      </x:c>
      <x:c r="I388" s="162" t="n">
        <x:v>0.5008</x:v>
      </x:c>
      <x:c r="J388" s="162" t="n">
        <x:v>0.19023</x:v>
      </x:c>
      <x:c r="K388" s="157" t="str">
        <x:v>High</x:v>
      </x:c>
      <x:c r="L388" s="157" t="n">
        <x:v>3</x:v>
      </x:c>
      <x:c r="M388" s="157" t="str">
        <x:v>Manual Review</x:v>
      </x:c>
      <x:c r="N388" s="166" t="n">
        <x:v>911177.04</x:v>
      </x:c>
      <x:c r="O388" s="157" t="n">
        <x:v>0</x:v>
      </x:c>
      <x:c r="P388" s="157" t="str">
        <x:v>test</x:v>
      </x:c>
    </x:row>
    <x:row r="389">
      <x:c r="A389" s="157" t="str">
        <x:v>L005623</x:v>
      </x:c>
      <x:c r="B389" s="165" t="n">
        <x:v>45261</x:v>
      </x:c>
      <x:c r="C389" s="157" t="str">
        <x:v>Technology</x:v>
      </x:c>
      <x:c r="D389" s="157" t="str">
        <x:v>revolving</x:v>
      </x:c>
      <x:c r="E389" s="157" t="str">
        <x:v>partially_secured</x:v>
      </x:c>
      <x:c r="F389" s="157" t="str">
        <x:v>CCC</x:v>
      </x:c>
      <x:c r="G389" s="157" t="n">
        <x:v>574</x:v>
      </x:c>
      <x:c r="H389" s="166" t="n">
        <x:v>3704815.52</x:v>
      </x:c>
      <x:c r="I389" s="162" t="n">
        <x:v>0.7215</x:v>
      </x:c>
      <x:c r="J389" s="162" t="n">
        <x:v>0.338849</x:v>
      </x:c>
      <x:c r="K389" s="157" t="str">
        <x:v>Very High</x:v>
      </x:c>
      <x:c r="L389" s="157" t="n">
        <x:v>1</x:v>
      </x:c>
      <x:c r="M389" s="157" t="str">
        <x:v>Manual Review</x:v>
      </x:c>
      <x:c r="N389" s="166" t="n">
        <x:v>905751.64</x:v>
      </x:c>
      <x:c r="O389" s="157" t="n">
        <x:v>0</x:v>
      </x:c>
      <x:c r="P389" s="157" t="str">
        <x:v>test</x:v>
      </x:c>
    </x:row>
    <x:row r="390">
      <x:c r="A390" s="157" t="str">
        <x:v>L025227</x:v>
      </x:c>
      <x:c r="B390" s="165" t="n">
        <x:v>44562</x:v>
      </x:c>
      <x:c r="C390" s="157" t="str">
        <x:v>Real_Estate</x:v>
      </x:c>
      <x:c r="D390" s="157" t="str">
        <x:v>bond</x:v>
      </x:c>
      <x:c r="E390" s="157" t="str">
        <x:v>partially_secured</x:v>
      </x:c>
      <x:c r="F390" s="157" t="str">
        <x:v>CCC</x:v>
      </x:c>
      <x:c r="G390" s="157" t="n">
        <x:v>608</x:v>
      </x:c>
      <x:c r="H390" s="166" t="n">
        <x:v>4673574.53</x:v>
      </x:c>
      <x:c r="I390" s="162" t="n">
        <x:v>0.5327</x:v>
      </x:c>
      <x:c r="J390" s="162" t="n">
        <x:v>0.362296</x:v>
      </x:c>
      <x:c r="K390" s="157" t="str">
        <x:v>Very High</x:v>
      </x:c>
      <x:c r="L390" s="157" t="n">
        <x:v>1</x:v>
      </x:c>
      <x:c r="M390" s="157" t="str">
        <x:v>Manual Review</x:v>
      </x:c>
      <x:c r="N390" s="166" t="n">
        <x:v>901976.89</x:v>
      </x:c>
      <x:c r="O390" s="157" t="n">
        <x:v>1</x:v>
      </x:c>
      <x:c r="P390" s="157" t="str">
        <x:v>test</x:v>
      </x:c>
    </x:row>
    <x:row r="391">
      <x:c r="A391" s="157" t="str">
        <x:v>L009898</x:v>
      </x:c>
      <x:c r="B391" s="165" t="n">
        <x:v>44835</x:v>
      </x:c>
      <x:c r="C391" s="157" t="str">
        <x:v>Financials</x:v>
      </x:c>
      <x:c r="D391" s="157" t="str">
        <x:v>mortgage</x:v>
      </x:c>
      <x:c r="E391" s="157" t="str">
        <x:v>unsecured</x:v>
      </x:c>
      <x:c r="F391" s="157" t="str">
        <x:v>B</x:v>
      </x:c>
      <x:c r="G391" s="157" t="n">
        <x:v>707</x:v>
      </x:c>
      <x:c r="H391" s="166" t="n">
        <x:v>8081750.38</x:v>
      </x:c>
      <x:c r="I391" s="162" t="n">
        <x:v>0.5347</x:v>
      </x:c>
      <x:c r="J391" s="162" t="n">
        <x:v>0.208454</x:v>
      </x:c>
      <x:c r="K391" s="157" t="str">
        <x:v>High</x:v>
      </x:c>
      <x:c r="L391" s="157" t="n">
        <x:v>2</x:v>
      </x:c>
      <x:c r="M391" s="157" t="str">
        <x:v>Manual Review</x:v>
      </x:c>
      <x:c r="N391" s="166" t="n">
        <x:v>900794.76</x:v>
      </x:c>
      <x:c r="O391" s="157" t="n">
        <x:v>1</x:v>
      </x:c>
      <x:c r="P391" s="157" t="str">
        <x:v>test</x:v>
      </x:c>
    </x:row>
    <x:row r="392">
      <x:c r="A392" s="157" t="str">
        <x:v>L020712</x:v>
      </x:c>
      <x:c r="B392" s="165" t="n">
        <x:v>44927</x:v>
      </x:c>
      <x:c r="C392" s="157" t="str">
        <x:v>Healthcare</x:v>
      </x:c>
      <x:c r="D392" s="157" t="str">
        <x:v>term_loan</x:v>
      </x:c>
      <x:c r="E392" s="157" t="str">
        <x:v>unsecured</x:v>
      </x:c>
      <x:c r="F392" s="157" t="str">
        <x:v>BB</x:v>
      </x:c>
      <x:c r="G392" s="157" t="n">
        <x:v>693</x:v>
      </x:c>
      <x:c r="H392" s="166" t="n">
        <x:v>9338510.4</x:v>
      </x:c>
      <x:c r="I392" s="162" t="n">
        <x:v>0.5267</x:v>
      </x:c>
      <x:c r="J392" s="162" t="n">
        <x:v>0.182955</x:v>
      </x:c>
      <x:c r="K392" s="157" t="str">
        <x:v>High</x:v>
      </x:c>
      <x:c r="L392" s="157" t="n">
        <x:v>3</x:v>
      </x:c>
      <x:c r="M392" s="157" t="str">
        <x:v>Manual Review</x:v>
      </x:c>
      <x:c r="N392" s="166" t="n">
        <x:v>899881.26</x:v>
      </x:c>
      <x:c r="O392" s="157" t="n">
        <x:v>0</x:v>
      </x:c>
      <x:c r="P392" s="157" t="str">
        <x:v>test</x:v>
      </x:c>
    </x:row>
    <x:row r="393">
      <x:c r="A393" s="157" t="str">
        <x:v>L029185</x:v>
      </x:c>
      <x:c r="B393" s="165" t="n">
        <x:v>45200</x:v>
      </x:c>
      <x:c r="C393" s="157" t="str">
        <x:v>Industrials</x:v>
      </x:c>
      <x:c r="D393" s="157" t="str">
        <x:v>term_loan</x:v>
      </x:c>
      <x:c r="E393" s="157" t="str">
        <x:v>unsecured</x:v>
      </x:c>
      <x:c r="F393" s="157" t="str">
        <x:v>BB</x:v>
      </x:c>
      <x:c r="G393" s="157" t="n">
        <x:v>711</x:v>
      </x:c>
      <x:c r="H393" s="166" t="n">
        <x:v>9158646.1</x:v>
      </x:c>
      <x:c r="I393" s="162" t="n">
        <x:v>0.5718</x:v>
      </x:c>
      <x:c r="J393" s="162" t="n">
        <x:v>0.171622</x:v>
      </x:c>
      <x:c r="K393" s="157" t="str">
        <x:v>High</x:v>
      </x:c>
      <x:c r="L393" s="157" t="n">
        <x:v>4</x:v>
      </x:c>
      <x:c r="M393" s="157" t="str">
        <x:v>Manual Review</x:v>
      </x:c>
      <x:c r="N393" s="166" t="n">
        <x:v>898769.63</x:v>
      </x:c>
      <x:c r="O393" s="157" t="n">
        <x:v>0</x:v>
      </x:c>
      <x:c r="P393" s="157" t="str">
        <x:v>test</x:v>
      </x:c>
    </x:row>
    <x:row r="394">
      <x:c r="A394" s="157" t="str">
        <x:v>L009050</x:v>
      </x:c>
      <x:c r="B394" s="165" t="n">
        <x:v>44896</x:v>
      </x:c>
      <x:c r="C394" s="157" t="str">
        <x:v>Telecom</x:v>
      </x:c>
      <x:c r="D394" s="157" t="str">
        <x:v>bond</x:v>
      </x:c>
      <x:c r="E394" s="157" t="str">
        <x:v>unsecured</x:v>
      </x:c>
      <x:c r="F394" s="157" t="str">
        <x:v>B</x:v>
      </x:c>
      <x:c r="G394" s="157" t="n">
        <x:v>659</x:v>
      </x:c>
      <x:c r="H394" s="166" t="n">
        <x:v>4100123.11</x:v>
      </x:c>
      <x:c r="I394" s="162" t="n">
        <x:v>0.8008</x:v>
      </x:c>
      <x:c r="J394" s="162" t="n">
        <x:v>0.273409</x:v>
      </x:c>
      <x:c r="K394" s="157" t="str">
        <x:v>High</x:v>
      </x:c>
      <x:c r="L394" s="157" t="n">
        <x:v>1</x:v>
      </x:c>
      <x:c r="M394" s="157" t="str">
        <x:v>Manual Review</x:v>
      </x:c>
      <x:c r="N394" s="166" t="n">
        <x:v>897705.26</x:v>
      </x:c>
      <x:c r="O394" s="157" t="n">
        <x:v>0</x:v>
      </x:c>
      <x:c r="P394" s="157" t="str">
        <x:v>test</x:v>
      </x:c>
    </x:row>
    <x:row r="395">
      <x:c r="A395" s="157" t="str">
        <x:v>L024087</x:v>
      </x:c>
      <x:c r="B395" s="165" t="n">
        <x:v>44896</x:v>
      </x:c>
      <x:c r="C395" s="157" t="str">
        <x:v>Financials</x:v>
      </x:c>
      <x:c r="D395" s="157" t="str">
        <x:v>revolving</x:v>
      </x:c>
      <x:c r="E395" s="157" t="str">
        <x:v>unsecured</x:v>
      </x:c>
      <x:c r="F395" s="157" t="str">
        <x:v>BBB</x:v>
      </x:c>
      <x:c r="G395" s="157" t="n">
        <x:v>733</x:v>
      </x:c>
      <x:c r="H395" s="166" t="n">
        <x:v>8771147.47</x:v>
      </x:c>
      <x:c r="I395" s="162" t="n">
        <x:v>0.5931</x:v>
      </x:c>
      <x:c r="J395" s="162" t="n">
        <x:v>0.171887</x:v>
      </x:c>
      <x:c r="K395" s="157" t="str">
        <x:v>High</x:v>
      </x:c>
      <x:c r="L395" s="157" t="n">
        <x:v>4</x:v>
      </x:c>
      <x:c r="M395" s="157" t="str">
        <x:v>Manual Review</x:v>
      </x:c>
      <x:c r="N395" s="166" t="n">
        <x:v>894184.98</x:v>
      </x:c>
      <x:c r="O395" s="157" t="n">
        <x:v>0</x:v>
      </x:c>
      <x:c r="P395" s="157" t="str">
        <x:v>test</x:v>
      </x:c>
    </x:row>
    <x:row r="396">
      <x:c r="A396" s="157" t="str">
        <x:v>L013924</x:v>
      </x:c>
      <x:c r="B396" s="165" t="n">
        <x:v>44958</x:v>
      </x:c>
      <x:c r="C396" s="157" t="str">
        <x:v>Industrials</x:v>
      </x:c>
      <x:c r="D396" s="157" t="str">
        <x:v>bond</x:v>
      </x:c>
      <x:c r="E396" s="157" t="str">
        <x:v>unsecured</x:v>
      </x:c>
      <x:c r="F396" s="157" t="str">
        <x:v>BBB</x:v>
      </x:c>
      <x:c r="G396" s="157" t="n">
        <x:v>695</x:v>
      </x:c>
      <x:c r="H396" s="166" t="n">
        <x:v>7468862.84</x:v>
      </x:c>
      <x:c r="I396" s="162" t="n">
        <x:v>0.6896</x:v>
      </x:c>
      <x:c r="J396" s="162" t="n">
        <x:v>0.17331</x:v>
      </x:c>
      <x:c r="K396" s="157" t="str">
        <x:v>High</x:v>
      </x:c>
      <x:c r="L396" s="157" t="n">
        <x:v>4</x:v>
      </x:c>
      <x:c r="M396" s="157" t="str">
        <x:v>Manual Review</x:v>
      </x:c>
      <x:c r="N396" s="166" t="n">
        <x:v>892637.98</x:v>
      </x:c>
      <x:c r="O396" s="157" t="n">
        <x:v>0</x:v>
      </x:c>
      <x:c r="P396" s="157" t="str">
        <x:v>test</x:v>
      </x:c>
    </x:row>
    <x:row r="397">
      <x:c r="A397" s="157" t="str">
        <x:v>L008183</x:v>
      </x:c>
      <x:c r="B397" s="165" t="n">
        <x:v>44835</x:v>
      </x:c>
      <x:c r="C397" s="157" t="str">
        <x:v>Industrials</x:v>
      </x:c>
      <x:c r="D397" s="157" t="str">
        <x:v>term_loan</x:v>
      </x:c>
      <x:c r="E397" s="157" t="str">
        <x:v>unsecured</x:v>
      </x:c>
      <x:c r="F397" s="157" t="str">
        <x:v>CCC</x:v>
      </x:c>
      <x:c r="G397" s="157" t="n">
        <x:v>727</x:v>
      </x:c>
      <x:c r="H397" s="166" t="n">
        <x:v>3642617.57</x:v>
      </x:c>
      <x:c r="I397" s="162" t="n">
        <x:v>0.6305</x:v>
      </x:c>
      <x:c r="J397" s="162" t="n">
        <x:v>0.388546</x:v>
      </x:c>
      <x:c r="K397" s="157" t="str">
        <x:v>Very High</x:v>
      </x:c>
      <x:c r="L397" s="157" t="n">
        <x:v>1</x:v>
      </x:c>
      <x:c r="M397" s="157" t="str">
        <x:v>Manual Review</x:v>
      </x:c>
      <x:c r="N397" s="166" t="n">
        <x:v>892362.09</x:v>
      </x:c>
      <x:c r="O397" s="157" t="n">
        <x:v>0</x:v>
      </x:c>
      <x:c r="P397" s="157" t="str">
        <x:v>test</x:v>
      </x:c>
    </x:row>
    <x:row r="398">
      <x:c r="A398" s="157" t="str">
        <x:v>L026988</x:v>
      </x:c>
      <x:c r="B398" s="165" t="n">
        <x:v>44713</x:v>
      </x:c>
      <x:c r="C398" s="157" t="str">
        <x:v>Real_Estate</x:v>
      </x:c>
      <x:c r="D398" s="157" t="str">
        <x:v>mortgage</x:v>
      </x:c>
      <x:c r="E398" s="157" t="str">
        <x:v>unsecured</x:v>
      </x:c>
      <x:c r="F398" s="157" t="str">
        <x:v>B</x:v>
      </x:c>
      <x:c r="G398" s="157" t="n">
        <x:v>605</x:v>
      </x:c>
      <x:c r="H398" s="166" t="n">
        <x:v>7082632.24</x:v>
      </x:c>
      <x:c r="I398" s="162" t="n">
        <x:v>0.5573</x:v>
      </x:c>
      <x:c r="J398" s="162" t="n">
        <x:v>0.225694</x:v>
      </x:c>
      <x:c r="K398" s="157" t="str">
        <x:v>High</x:v>
      </x:c>
      <x:c r="L398" s="157" t="n">
        <x:v>2</x:v>
      </x:c>
      <x:c r="M398" s="157" t="str">
        <x:v>Manual Review</x:v>
      </x:c>
      <x:c r="N398" s="166" t="n">
        <x:v>890848.29</x:v>
      </x:c>
      <x:c r="O398" s="157" t="n">
        <x:v>0</x:v>
      </x:c>
      <x:c r="P398" s="157" t="str">
        <x:v>test</x:v>
      </x:c>
    </x:row>
    <x:row r="399">
      <x:c r="A399" s="157" t="str">
        <x:v>L037187</x:v>
      </x:c>
      <x:c r="B399" s="165" t="n">
        <x:v>44652</x:v>
      </x:c>
      <x:c r="C399" s="157" t="str">
        <x:v>Telecom</x:v>
      </x:c>
      <x:c r="D399" s="157" t="str">
        <x:v>revolving</x:v>
      </x:c>
      <x:c r="E399" s="157" t="str">
        <x:v>partially_secured</x:v>
      </x:c>
      <x:c r="F399" s="157" t="str">
        <x:v>BB</x:v>
      </x:c>
      <x:c r="G399" s="157" t="n">
        <x:v>698</x:v>
      </x:c>
      <x:c r="H399" s="166" t="n">
        <x:v>9771064.42</x:v>
      </x:c>
      <x:c r="I399" s="162" t="n">
        <x:v>0.5016</x:v>
      </x:c>
      <x:c r="J399" s="162" t="n">
        <x:v>0.181448</x:v>
      </x:c>
      <x:c r="K399" s="157" t="str">
        <x:v>High</x:v>
      </x:c>
      <x:c r="L399" s="157" t="n">
        <x:v>3</x:v>
      </x:c>
      <x:c r="M399" s="157" t="str">
        <x:v>Manual Review</x:v>
      </x:c>
      <x:c r="N399" s="166" t="n">
        <x:v>889306.75</x:v>
      </x:c>
      <x:c r="O399" s="157" t="n">
        <x:v>0</x:v>
      </x:c>
      <x:c r="P399" s="157" t="str">
        <x:v>test</x:v>
      </x:c>
    </x:row>
    <x:row r="400">
      <x:c r="A400" s="157" t="str">
        <x:v>L010710</x:v>
      </x:c>
      <x:c r="B400" s="165" t="n">
        <x:v>44958</x:v>
      </x:c>
      <x:c r="C400" s="157" t="str">
        <x:v>Industrials</x:v>
      </x:c>
      <x:c r="D400" s="157" t="str">
        <x:v>revolving</x:v>
      </x:c>
      <x:c r="E400" s="157" t="str">
        <x:v>partially_secured</x:v>
      </x:c>
      <x:c r="F400" s="157" t="str">
        <x:v>B</x:v>
      </x:c>
      <x:c r="G400" s="157" t="n">
        <x:v>629</x:v>
      </x:c>
      <x:c r="H400" s="166" t="n">
        <x:v>4927888.91</x:v>
      </x:c>
      <x:c r="I400" s="162" t="n">
        <x:v>0.7193</x:v>
      </x:c>
      <x:c r="J400" s="162" t="n">
        <x:v>0.249815</x:v>
      </x:c>
      <x:c r="K400" s="157" t="str">
        <x:v>High</x:v>
      </x:c>
      <x:c r="L400" s="157" t="n">
        <x:v>2</x:v>
      </x:c>
      <x:c r="M400" s="157" t="str">
        <x:v>Manual Review</x:v>
      </x:c>
      <x:c r="N400" s="166" t="n">
        <x:v>885501.87</x:v>
      </x:c>
      <x:c r="O400" s="157" t="n">
        <x:v>1</x:v>
      </x:c>
      <x:c r="P400" s="157" t="str">
        <x:v>test</x:v>
      </x:c>
    </x:row>
    <x:row r="401">
      <x:c r="A401" s="157" t="str">
        <x:v>L038152</x:v>
      </x:c>
      <x:c r="B401" s="165" t="n">
        <x:v>45261</x:v>
      </x:c>
      <x:c r="C401" s="157" t="str">
        <x:v>Industrials</x:v>
      </x:c>
      <x:c r="D401" s="157" t="str">
        <x:v>bond</x:v>
      </x:c>
      <x:c r="E401" s="157" t="str">
        <x:v>unsecured</x:v>
      </x:c>
      <x:c r="F401" s="157" t="str">
        <x:v>CCC</x:v>
      </x:c>
      <x:c r="G401" s="157" t="n">
        <x:v>665</x:v>
      </x:c>
      <x:c r="H401" s="166" t="n">
        <x:v>3370334.16</x:v>
      </x:c>
      <x:c r="I401" s="162" t="n">
        <x:v>0.8185</x:v>
      </x:c>
      <x:c r="J401" s="162" t="n">
        <x:v>0.320346</x:v>
      </x:c>
      <x:c r="K401" s="157" t="str">
        <x:v>Very High</x:v>
      </x:c>
      <x:c r="L401" s="157" t="n">
        <x:v>1</x:v>
      </x:c>
      <x:c r="M401" s="157" t="str">
        <x:v>Manual Review</x:v>
      </x:c>
      <x:c r="N401" s="166" t="n">
        <x:v>883712.41</x:v>
      </x:c>
      <x:c r="O401" s="157" t="n">
        <x:v>0</x:v>
      </x:c>
      <x:c r="P401" s="157" t="str">
        <x:v>test</x:v>
      </x:c>
    </x:row>
    <x:row r="402">
      <x:c r="A402" s="157" t="str">
        <x:v>L028479</x:v>
      </x:c>
      <x:c r="B402" s="165" t="n">
        <x:v>45200</x:v>
      </x:c>
      <x:c r="C402" s="157" t="str">
        <x:v>Industrials</x:v>
      </x:c>
      <x:c r="D402" s="157" t="str">
        <x:v>bond</x:v>
      </x:c>
      <x:c r="E402" s="157" t="str">
        <x:v>unsecured</x:v>
      </x:c>
      <x:c r="F402" s="157" t="str">
        <x:v>B</x:v>
      </x:c>
      <x:c r="G402" s="157" t="n">
        <x:v>616</x:v>
      </x:c>
      <x:c r="H402" s="166" t="n">
        <x:v>6867726.41</x:v>
      </x:c>
      <x:c r="I402" s="162" t="n">
        <x:v>0.4891</x:v>
      </x:c>
      <x:c r="J402" s="162" t="n">
        <x:v>0.262772</x:v>
      </x:c>
      <x:c r="K402" s="157" t="str">
        <x:v>High</x:v>
      </x:c>
      <x:c r="L402" s="157" t="n">
        <x:v>2</x:v>
      </x:c>
      <x:c r="M402" s="157" t="str">
        <x:v>Manual Review</x:v>
      </x:c>
      <x:c r="N402" s="166" t="n">
        <x:v>882652.46</x:v>
      </x:c>
      <x:c r="O402" s="157" t="n">
        <x:v>0</x:v>
      </x:c>
      <x:c r="P402" s="157" t="str">
        <x:v>test</x:v>
      </x:c>
    </x:row>
    <x:row r="403">
      <x:c r="A403" s="157" t="str">
        <x:v>L046876</x:v>
      </x:c>
      <x:c r="B403" s="165" t="n">
        <x:v>44621</x:v>
      </x:c>
      <x:c r="C403" s="157" t="str">
        <x:v>Consumer</x:v>
      </x:c>
      <x:c r="D403" s="157" t="str">
        <x:v>term_loan</x:v>
      </x:c>
      <x:c r="E403" s="157" t="str">
        <x:v>partially_secured</x:v>
      </x:c>
      <x:c r="F403" s="157" t="str">
        <x:v>CCC</x:v>
      </x:c>
      <x:c r="G403" s="157" t="n">
        <x:v>661</x:v>
      </x:c>
      <x:c r="H403" s="166" t="n">
        <x:v>3088780.27</x:v>
      </x:c>
      <x:c r="I403" s="162" t="n">
        <x:v>0.8013</x:v>
      </x:c>
      <x:c r="J403" s="162" t="n">
        <x:v>0.356546</x:v>
      </x:c>
      <x:c r="K403" s="157" t="str">
        <x:v>Very High</x:v>
      </x:c>
      <x:c r="L403" s="157" t="n">
        <x:v>1</x:v>
      </x:c>
      <x:c r="M403" s="157" t="str">
        <x:v>Manual Review</x:v>
      </x:c>
      <x:c r="N403" s="166" t="n">
        <x:v>882465.48</x:v>
      </x:c>
      <x:c r="O403" s="157" t="n">
        <x:v>0</x:v>
      </x:c>
      <x:c r="P403" s="157" t="str">
        <x:v>test</x:v>
      </x:c>
    </x:row>
    <x:row r="404">
      <x:c r="A404" s="157" t="str">
        <x:v>L000480</x:v>
      </x:c>
      <x:c r="B404" s="165" t="n">
        <x:v>45231</x:v>
      </x:c>
      <x:c r="C404" s="157" t="str">
        <x:v>Energy</x:v>
      </x:c>
      <x:c r="D404" s="157" t="str">
        <x:v>revolving</x:v>
      </x:c>
      <x:c r="E404" s="157" t="str">
        <x:v>unsecured</x:v>
      </x:c>
      <x:c r="F404" s="157" t="str">
        <x:v>BB</x:v>
      </x:c>
      <x:c r="G404" s="157" t="n">
        <x:v>695</x:v>
      </x:c>
      <x:c r="H404" s="166" t="n">
        <x:v>6175493.39</x:v>
      </x:c>
      <x:c r="I404" s="162" t="n">
        <x:v>0.7419</x:v>
      </x:c>
      <x:c r="J404" s="162" t="n">
        <x:v>0.19258</x:v>
      </x:c>
      <x:c r="K404" s="157" t="str">
        <x:v>High</x:v>
      </x:c>
      <x:c r="L404" s="157" t="n">
        <x:v>3</x:v>
      </x:c>
      <x:c r="M404" s="157" t="str">
        <x:v>Manual Review</x:v>
      </x:c>
      <x:c r="N404" s="166" t="n">
        <x:v>882324.25</x:v>
      </x:c>
      <x:c r="O404" s="157" t="n">
        <x:v>1</x:v>
      </x:c>
      <x:c r="P404" s="157" t="str">
        <x:v>test</x:v>
      </x:c>
    </x:row>
    <x:row r="405">
      <x:c r="A405" s="157" t="str">
        <x:v>L028256</x:v>
      </x:c>
      <x:c r="B405" s="165" t="n">
        <x:v>45047</x:v>
      </x:c>
      <x:c r="C405" s="157" t="str">
        <x:v>Energy</x:v>
      </x:c>
      <x:c r="D405" s="157" t="str">
        <x:v>term_loan</x:v>
      </x:c>
      <x:c r="E405" s="157" t="str">
        <x:v>unsecured</x:v>
      </x:c>
      <x:c r="F405" s="157" t="str">
        <x:v>BB</x:v>
      </x:c>
      <x:c r="G405" s="157" t="n">
        <x:v>688</x:v>
      </x:c>
      <x:c r="H405" s="166" t="n">
        <x:v>8218973.52</x:v>
      </x:c>
      <x:c r="I405" s="162" t="n">
        <x:v>0.5543</x:v>
      </x:c>
      <x:c r="J405" s="162" t="n">
        <x:v>0.193453</x:v>
      </x:c>
      <x:c r="K405" s="157" t="str">
        <x:v>High</x:v>
      </x:c>
      <x:c r="L405" s="157" t="n">
        <x:v>3</x:v>
      </x:c>
      <x:c r="M405" s="157" t="str">
        <x:v>Manual Review</x:v>
      </x:c>
      <x:c r="N405" s="166" t="n">
        <x:v>881328.73</x:v>
      </x:c>
      <x:c r="O405" s="157" t="n">
        <x:v>0</x:v>
      </x:c>
      <x:c r="P405" s="157" t="str">
        <x:v>test</x:v>
      </x:c>
    </x:row>
    <x:row r="406">
      <x:c r="A406" s="157" t="str">
        <x:v>L012016</x:v>
      </x:c>
      <x:c r="B406" s="165" t="n">
        <x:v>44866</x:v>
      </x:c>
      <x:c r="C406" s="157" t="str">
        <x:v>Energy</x:v>
      </x:c>
      <x:c r="D406" s="157" t="str">
        <x:v>term_loan</x:v>
      </x:c>
      <x:c r="E406" s="157" t="str">
        <x:v>unsecured</x:v>
      </x:c>
      <x:c r="F406" s="157" t="str">
        <x:v>BBB</x:v>
      </x:c>
      <x:c r="G406" s="157" t="n">
        <x:v>759</x:v>
      </x:c>
      <x:c r="H406" s="166" t="n">
        <x:v>7749819.59</x:v>
      </x:c>
      <x:c r="I406" s="162" t="n">
        <x:v>0.6173</x:v>
      </x:c>
      <x:c r="J406" s="162" t="n">
        <x:v>0.184046</x:v>
      </x:c>
      <x:c r="K406" s="157" t="str">
        <x:v>High</x:v>
      </x:c>
      <x:c r="L406" s="157" t="n">
        <x:v>3</x:v>
      </x:c>
      <x:c r="M406" s="157" t="str">
        <x:v>Manual Review</x:v>
      </x:c>
      <x:c r="N406" s="166" t="n">
        <x:v>880469.37</x:v>
      </x:c>
      <x:c r="O406" s="157" t="n">
        <x:v>0</x:v>
      </x:c>
      <x:c r="P406" s="157" t="str">
        <x:v>test</x:v>
      </x:c>
    </x:row>
    <x:row r="407">
      <x:c r="A407" s="157" t="str">
        <x:v>L034123</x:v>
      </x:c>
      <x:c r="B407" s="165" t="n">
        <x:v>45108</x:v>
      </x:c>
      <x:c r="C407" s="157" t="str">
        <x:v>Utilities</x:v>
      </x:c>
      <x:c r="D407" s="157" t="str">
        <x:v>term_loan</x:v>
      </x:c>
      <x:c r="E407" s="157" t="str">
        <x:v>secured</x:v>
      </x:c>
      <x:c r="F407" s="157" t="str">
        <x:v>BB</x:v>
      </x:c>
      <x:c r="G407" s="157" t="n">
        <x:v>755</x:v>
      </x:c>
      <x:c r="H407" s="166" t="n">
        <x:v>11359055.56</x:v>
      </x:c>
      <x:c r="I407" s="162" t="n">
        <x:v>0.4434</x:v>
      </x:c>
      <x:c r="J407" s="162" t="n">
        <x:v>0.174766</x:v>
      </x:c>
      <x:c r="K407" s="157" t="str">
        <x:v>High</x:v>
      </x:c>
      <x:c r="L407" s="157" t="n">
        <x:v>4</x:v>
      </x:c>
      <x:c r="M407" s="157" t="str">
        <x:v>Manual Review</x:v>
      </x:c>
      <x:c r="N407" s="166" t="n">
        <x:v>880227.35</x:v>
      </x:c>
      <x:c r="O407" s="157" t="n">
        <x:v>0</x:v>
      </x:c>
      <x:c r="P407" s="157" t="str">
        <x:v>test</x:v>
      </x:c>
    </x:row>
    <x:row r="408">
      <x:c r="A408" s="157" t="str">
        <x:v>L033109</x:v>
      </x:c>
      <x:c r="B408" s="165" t="n">
        <x:v>45078</x:v>
      </x:c>
      <x:c r="C408" s="157" t="str">
        <x:v>Real_Estate</x:v>
      </x:c>
      <x:c r="D408" s="157" t="str">
        <x:v>term_loan</x:v>
      </x:c>
      <x:c r="E408" s="157" t="str">
        <x:v>secured</x:v>
      </x:c>
      <x:c r="F408" s="157" t="str">
        <x:v>CCC</x:v>
      </x:c>
      <x:c r="G408" s="157" t="n">
        <x:v>638</x:v>
      </x:c>
      <x:c r="H408" s="166" t="n">
        <x:v>6393233.23</x:v>
      </x:c>
      <x:c r="I408" s="162" t="n">
        <x:v>0.3453</x:v>
      </x:c>
      <x:c r="J408" s="162" t="n">
        <x:v>0.398411</x:v>
      </x:c>
      <x:c r="K408" s="157" t="str">
        <x:v>Very High</x:v>
      </x:c>
      <x:c r="L408" s="157" t="n">
        <x:v>1</x:v>
      </x:c>
      <x:c r="M408" s="157" t="str">
        <x:v>Manual Review</x:v>
      </x:c>
      <x:c r="N408" s="166" t="n">
        <x:v>879525.52</x:v>
      </x:c>
      <x:c r="O408" s="157" t="n">
        <x:v>1</x:v>
      </x:c>
      <x:c r="P408" s="157" t="str">
        <x:v>test</x:v>
      </x:c>
    </x:row>
    <x:row r="409">
      <x:c r="A409" s="157" t="str">
        <x:v>L014740</x:v>
      </x:c>
      <x:c r="B409" s="165" t="n">
        <x:v>44986</x:v>
      </x:c>
      <x:c r="C409" s="157" t="str">
        <x:v>Real_Estate</x:v>
      </x:c>
      <x:c r="D409" s="157" t="str">
        <x:v>mortgage</x:v>
      </x:c>
      <x:c r="E409" s="157" t="str">
        <x:v>secured</x:v>
      </x:c>
      <x:c r="F409" s="157" t="str">
        <x:v>CCC</x:v>
      </x:c>
      <x:c r="G409" s="157" t="n">
        <x:v>627</x:v>
      </x:c>
      <x:c r="H409" s="166" t="n">
        <x:v>7396485.65</x:v>
      </x:c>
      <x:c r="I409" s="162" t="n">
        <x:v>0.3003</x:v>
      </x:c>
      <x:c r="J409" s="162" t="n">
        <x:v>0.395592</x:v>
      </x:c>
      <x:c r="K409" s="157" t="str">
        <x:v>Very High</x:v>
      </x:c>
      <x:c r="L409" s="157" t="n">
        <x:v>1</x:v>
      </x:c>
      <x:c r="M409" s="157" t="str">
        <x:v>Manual Review</x:v>
      </x:c>
      <x:c r="N409" s="166" t="n">
        <x:v>878674.96</x:v>
      </x:c>
      <x:c r="O409" s="157" t="n">
        <x:v>1</x:v>
      </x:c>
      <x:c r="P409" s="157" t="str">
        <x:v>test</x:v>
      </x:c>
    </x:row>
    <x:row r="410">
      <x:c r="A410" s="157" t="str">
        <x:v>L037095</x:v>
      </x:c>
      <x:c r="B410" s="165" t="n">
        <x:v>44593</x:v>
      </x:c>
      <x:c r="C410" s="157" t="str">
        <x:v>Financials</x:v>
      </x:c>
      <x:c r="D410" s="157" t="str">
        <x:v>term_loan</x:v>
      </x:c>
      <x:c r="E410" s="157" t="str">
        <x:v>partially_secured</x:v>
      </x:c>
      <x:c r="F410" s="157" t="str">
        <x:v>B</x:v>
      </x:c>
      <x:c r="G410" s="157" t="n">
        <x:v>691</x:v>
      </x:c>
      <x:c r="H410" s="166" t="n">
        <x:v>8550895.1</x:v>
      </x:c>
      <x:c r="I410" s="162" t="n">
        <x:v>0.5029</x:v>
      </x:c>
      <x:c r="J410" s="162" t="n">
        <x:v>0.204177</x:v>
      </x:c>
      <x:c r="K410" s="157" t="str">
        <x:v>High</x:v>
      </x:c>
      <x:c r="L410" s="157" t="n">
        <x:v>2</x:v>
      </x:c>
      <x:c r="M410" s="157" t="str">
        <x:v>Manual Review</x:v>
      </x:c>
      <x:c r="N410" s="166" t="n">
        <x:v>878011.15</x:v>
      </x:c>
      <x:c r="O410" s="157" t="n">
        <x:v>0</x:v>
      </x:c>
      <x:c r="P410" s="157" t="str">
        <x:v>test</x:v>
      </x:c>
    </x:row>
    <x:row r="411">
      <x:c r="A411" s="157" t="str">
        <x:v>L030625</x:v>
      </x:c>
      <x:c r="B411" s="165" t="n">
        <x:v>45200</x:v>
      </x:c>
      <x:c r="C411" s="157" t="str">
        <x:v>Consumer</x:v>
      </x:c>
      <x:c r="D411" s="157" t="str">
        <x:v>term_loan</x:v>
      </x:c>
      <x:c r="E411" s="157" t="str">
        <x:v>secured</x:v>
      </x:c>
      <x:c r="F411" s="157" t="str">
        <x:v>CCC</x:v>
      </x:c>
      <x:c r="G411" s="157" t="n">
        <x:v>688</x:v>
      </x:c>
      <x:c r="H411" s="166" t="n">
        <x:v>3111677.1</x:v>
      </x:c>
      <x:c r="I411" s="162" t="n">
        <x:v>0.6798</x:v>
      </x:c>
      <x:c r="J411" s="162" t="n">
        <x:v>0.414696</x:v>
      </x:c>
      <x:c r="K411" s="157" t="str">
        <x:v>Very High</x:v>
      </x:c>
      <x:c r="L411" s="157" t="n">
        <x:v>1</x:v>
      </x:c>
      <x:c r="M411" s="157" t="str">
        <x:v>Manual Review</x:v>
      </x:c>
      <x:c r="N411" s="166" t="n">
        <x:v>877213.95</x:v>
      </x:c>
      <x:c r="O411" s="157" t="n">
        <x:v>0</x:v>
      </x:c>
      <x:c r="P411" s="157" t="str">
        <x:v>test</x:v>
      </x:c>
    </x:row>
    <x:row r="412">
      <x:c r="A412" s="157" t="str">
        <x:v>L034416</x:v>
      </x:c>
      <x:c r="B412" s="165" t="n">
        <x:v>45200</x:v>
      </x:c>
      <x:c r="C412" s="157" t="str">
        <x:v>Energy</x:v>
      </x:c>
      <x:c r="D412" s="157" t="str">
        <x:v>revolving</x:v>
      </x:c>
      <x:c r="E412" s="157" t="str">
        <x:v>secured</x:v>
      </x:c>
      <x:c r="F412" s="157" t="str">
        <x:v>CCC</x:v>
      </x:c>
      <x:c r="G412" s="157" t="n">
        <x:v>648</x:v>
      </x:c>
      <x:c r="H412" s="166" t="n">
        <x:v>6422093.27</x:v>
      </x:c>
      <x:c r="I412" s="162" t="n">
        <x:v>0.3323</x:v>
      </x:c>
      <x:c r="J412" s="162" t="n">
        <x:v>0.409623</x:v>
      </x:c>
      <x:c r="K412" s="157" t="str">
        <x:v>Very High</x:v>
      </x:c>
      <x:c r="L412" s="157" t="n">
        <x:v>1</x:v>
      </x:c>
      <x:c r="M412" s="157" t="str">
        <x:v>Manual Review</x:v>
      </x:c>
      <x:c r="N412" s="166" t="n">
        <x:v>874160.71</x:v>
      </x:c>
      <x:c r="O412" s="157" t="n">
        <x:v>0</x:v>
      </x:c>
      <x:c r="P412" s="157" t="str">
        <x:v>test</x:v>
      </x:c>
    </x:row>
    <x:row r="413">
      <x:c r="A413" s="157" t="str">
        <x:v>L033716</x:v>
      </x:c>
      <x:c r="B413" s="165" t="n">
        <x:v>44896</x:v>
      </x:c>
      <x:c r="C413" s="157" t="str">
        <x:v>Telecom</x:v>
      </x:c>
      <x:c r="D413" s="157" t="str">
        <x:v>revolving</x:v>
      </x:c>
      <x:c r="E413" s="157" t="str">
        <x:v>secured</x:v>
      </x:c>
      <x:c r="F413" s="157" t="str">
        <x:v>B</x:v>
      </x:c>
      <x:c r="G413" s="157" t="n">
        <x:v>653</x:v>
      </x:c>
      <x:c r="H413" s="166" t="n">
        <x:v>5936994.29</x:v>
      </x:c>
      <x:c r="I413" s="162" t="n">
        <x:v>0.5808</x:v>
      </x:c>
      <x:c r="J413" s="162" t="n">
        <x:v>0.252535</x:v>
      </x:c>
      <x:c r="K413" s="157" t="str">
        <x:v>High</x:v>
      </x:c>
      <x:c r="L413" s="157" t="n">
        <x:v>2</x:v>
      </x:c>
      <x:c r="M413" s="157" t="str">
        <x:v>Manual Review</x:v>
      </x:c>
      <x:c r="N413" s="166" t="n">
        <x:v>870792.77</x:v>
      </x:c>
      <x:c r="O413" s="157" t="n">
        <x:v>0</x:v>
      </x:c>
      <x:c r="P413" s="157" t="str">
        <x:v>test</x:v>
      </x:c>
    </x:row>
    <x:row r="414">
      <x:c r="A414" s="157" t="str">
        <x:v>L040808</x:v>
      </x:c>
      <x:c r="B414" s="165" t="n">
        <x:v>44562</x:v>
      </x:c>
      <x:c r="C414" s="157" t="str">
        <x:v>Telecom</x:v>
      </x:c>
      <x:c r="D414" s="157" t="str">
        <x:v>mortgage</x:v>
      </x:c>
      <x:c r="E414" s="157" t="str">
        <x:v>secured</x:v>
      </x:c>
      <x:c r="F414" s="157" t="str">
        <x:v>CCC</x:v>
      </x:c>
      <x:c r="G414" s="157" t="n">
        <x:v>619</x:v>
      </x:c>
      <x:c r="H414" s="166" t="n">
        <x:v>4904741.37</x:v>
      </x:c>
      <x:c r="I414" s="162" t="n">
        <x:v>0.4742</x:v>
      </x:c>
      <x:c r="J414" s="162" t="n">
        <x:v>0.374385</x:v>
      </x:c>
      <x:c r="K414" s="157" t="str">
        <x:v>Very High</x:v>
      </x:c>
      <x:c r="L414" s="157" t="n">
        <x:v>1</x:v>
      </x:c>
      <x:c r="M414" s="157" t="str">
        <x:v>Manual Review</x:v>
      </x:c>
      <x:c r="N414" s="166" t="n">
        <x:v>870755.25</x:v>
      </x:c>
      <x:c r="O414" s="157" t="n">
        <x:v>1</x:v>
      </x:c>
      <x:c r="P414" s="157" t="str">
        <x:v>test</x:v>
      </x:c>
    </x:row>
    <x:row r="415">
      <x:c r="A415" s="157" t="str">
        <x:v>L049832</x:v>
      </x:c>
      <x:c r="B415" s="165" t="n">
        <x:v>44621</x:v>
      </x:c>
      <x:c r="C415" s="157" t="str">
        <x:v>Financials</x:v>
      </x:c>
      <x:c r="D415" s="157" t="str">
        <x:v>term_loan</x:v>
      </x:c>
      <x:c r="E415" s="157" t="str">
        <x:v>unsecured</x:v>
      </x:c>
      <x:c r="F415" s="157" t="str">
        <x:v>B</x:v>
      </x:c>
      <x:c r="G415" s="157" t="n">
        <x:v>612</x:v>
      </x:c>
      <x:c r="H415" s="166" t="n">
        <x:v>6629707.01</x:v>
      </x:c>
      <x:c r="I415" s="162" t="n">
        <x:v>0.5822</x:v>
      </x:c>
      <x:c r="J415" s="162" t="n">
        <x:v>0.225339</x:v>
      </x:c>
      <x:c r="K415" s="157" t="str">
        <x:v>High</x:v>
      </x:c>
      <x:c r="L415" s="157" t="n">
        <x:v>2</x:v>
      </x:c>
      <x:c r="M415" s="157" t="str">
        <x:v>Manual Review</x:v>
      </x:c>
      <x:c r="N415" s="166" t="n">
        <x:v>869766.95</x:v>
      </x:c>
      <x:c r="O415" s="157" t="n">
        <x:v>1</x:v>
      </x:c>
      <x:c r="P415" s="157" t="str">
        <x:v>test</x:v>
      </x:c>
    </x:row>
    <x:row r="416">
      <x:c r="A416" s="157" t="str">
        <x:v>L035587</x:v>
      </x:c>
      <x:c r="B416" s="165" t="n">
        <x:v>45261</x:v>
      </x:c>
      <x:c r="C416" s="157" t="str">
        <x:v>Financials</x:v>
      </x:c>
      <x:c r="D416" s="157" t="str">
        <x:v>bond</x:v>
      </x:c>
      <x:c r="E416" s="157" t="str">
        <x:v>secured</x:v>
      </x:c>
      <x:c r="F416" s="157" t="str">
        <x:v>BB</x:v>
      </x:c>
      <x:c r="G416" s="157" t="n">
        <x:v>683</x:v>
      </x:c>
      <x:c r="H416" s="166" t="n">
        <x:v>13626644.93</x:v>
      </x:c>
      <x:c r="I416" s="162" t="n">
        <x:v>0.3497</x:v>
      </x:c>
      <x:c r="J416" s="162" t="n">
        <x:v>0.182197</x:v>
      </x:c>
      <x:c r="K416" s="157" t="str">
        <x:v>High</x:v>
      </x:c>
      <x:c r="L416" s="157" t="n">
        <x:v>3</x:v>
      </x:c>
      <x:c r="M416" s="157" t="str">
        <x:v>Manual Review</x:v>
      </x:c>
      <x:c r="N416" s="166" t="n">
        <x:v>868212.02</x:v>
      </x:c>
      <x:c r="O416" s="157" t="n">
        <x:v>0</x:v>
      </x:c>
      <x:c r="P416" s="157" t="str">
        <x:v>test</x:v>
      </x:c>
    </x:row>
    <x:row r="417">
      <x:c r="A417" s="157" t="str">
        <x:v>L000385</x:v>
      </x:c>
      <x:c r="B417" s="165" t="n">
        <x:v>44593</x:v>
      </x:c>
      <x:c r="C417" s="157" t="str">
        <x:v>Industrials</x:v>
      </x:c>
      <x:c r="D417" s="157" t="str">
        <x:v>term_loan</x:v>
      </x:c>
      <x:c r="E417" s="157" t="str">
        <x:v>unsecured</x:v>
      </x:c>
      <x:c r="F417" s="157" t="str">
        <x:v>CCC</x:v>
      </x:c>
      <x:c r="G417" s="157" t="n">
        <x:v>630</x:v>
      </x:c>
      <x:c r="H417" s="166" t="n">
        <x:v>7274672.91</x:v>
      </x:c>
      <x:c r="I417" s="162" t="n">
        <x:v>0.6193</x:v>
      </x:c>
      <x:c r="J417" s="162" t="n">
        <x:v>0.19259</x:v>
      </x:c>
      <x:c r="K417" s="157" t="str">
        <x:v>High</x:v>
      </x:c>
      <x:c r="L417" s="157" t="n">
        <x:v>3</x:v>
      </x:c>
      <x:c r="M417" s="157" t="str">
        <x:v>Manual Review</x:v>
      </x:c>
      <x:c r="N417" s="166" t="n">
        <x:v>867657.42</x:v>
      </x:c>
      <x:c r="O417" s="157" t="n">
        <x:v>0</x:v>
      </x:c>
      <x:c r="P417" s="157" t="str">
        <x:v>test</x:v>
      </x:c>
    </x:row>
    <x:row r="418">
      <x:c r="A418" s="157" t="str">
        <x:v>L040472</x:v>
      </x:c>
      <x:c r="B418" s="165" t="n">
        <x:v>45108</x:v>
      </x:c>
      <x:c r="C418" s="157" t="str">
        <x:v>Telecom</x:v>
      </x:c>
      <x:c r="D418" s="157" t="str">
        <x:v>mortgage</x:v>
      </x:c>
      <x:c r="E418" s="157" t="str">
        <x:v>secured</x:v>
      </x:c>
      <x:c r="F418" s="157" t="str">
        <x:v>BBB</x:v>
      </x:c>
      <x:c r="G418" s="157" t="n">
        <x:v>721</x:v>
      </x:c>
      <x:c r="H418" s="166" t="n">
        <x:v>8842034.64</x:v>
      </x:c>
      <x:c r="I418" s="162" t="n">
        <x:v>0.5087</x:v>
      </x:c>
      <x:c r="J418" s="162" t="n">
        <x:v>0.192112</x:v>
      </x:c>
      <x:c r="K418" s="157" t="str">
        <x:v>High</x:v>
      </x:c>
      <x:c r="L418" s="157" t="n">
        <x:v>3</x:v>
      </x:c>
      <x:c r="M418" s="157" t="str">
        <x:v>Manual Review</x:v>
      </x:c>
      <x:c r="N418" s="166" t="n">
        <x:v>864108.83</x:v>
      </x:c>
      <x:c r="O418" s="157" t="n">
        <x:v>0</x:v>
      </x:c>
      <x:c r="P418" s="157" t="str">
        <x:v>test</x:v>
      </x:c>
    </x:row>
    <x:row r="419">
      <x:c r="A419" s="157" t="str">
        <x:v>L020358</x:v>
      </x:c>
      <x:c r="B419" s="165" t="n">
        <x:v>45047</x:v>
      </x:c>
      <x:c r="C419" s="157" t="str">
        <x:v>Financials</x:v>
      </x:c>
      <x:c r="D419" s="157" t="str">
        <x:v>term_loan</x:v>
      </x:c>
      <x:c r="E419" s="157" t="str">
        <x:v>secured</x:v>
      </x:c>
      <x:c r="F419" s="157" t="str">
        <x:v>B</x:v>
      </x:c>
      <x:c r="G419" s="157" t="n">
        <x:v>683</x:v>
      </x:c>
      <x:c r="H419" s="166" t="n">
        <x:v>7106409.21</x:v>
      </x:c>
      <x:c r="I419" s="162" t="n">
        <x:v>0.5055</x:v>
      </x:c>
      <x:c r="J419" s="162" t="n">
        <x:v>0.24031</x:v>
      </x:c>
      <x:c r="K419" s="157" t="str">
        <x:v>High</x:v>
      </x:c>
      <x:c r="L419" s="157" t="n">
        <x:v>2</x:v>
      </x:c>
      <x:c r="M419" s="157" t="str">
        <x:v>Manual Review</x:v>
      </x:c>
      <x:c r="N419" s="166" t="n">
        <x:v>863263.18</x:v>
      </x:c>
      <x:c r="O419" s="157" t="n">
        <x:v>0</x:v>
      </x:c>
      <x:c r="P419" s="157" t="str">
        <x:v>test</x:v>
      </x:c>
    </x:row>
    <x:row r="420">
      <x:c r="A420" s="157" t="str">
        <x:v>L006438</x:v>
      </x:c>
      <x:c r="B420" s="165" t="n">
        <x:v>44652</x:v>
      </x:c>
      <x:c r="C420" s="157" t="str">
        <x:v>Financials</x:v>
      </x:c>
      <x:c r="D420" s="157" t="str">
        <x:v>revolving</x:v>
      </x:c>
      <x:c r="E420" s="157" t="str">
        <x:v>unsecured</x:v>
      </x:c>
      <x:c r="F420" s="157" t="str">
        <x:v>B</x:v>
      </x:c>
      <x:c r="G420" s="157" t="n">
        <x:v>669</x:v>
      </x:c>
      <x:c r="H420" s="166" t="n">
        <x:v>5939848.97</x:v>
      </x:c>
      <x:c r="I420" s="162" t="n">
        <x:v>0.6277</x:v>
      </x:c>
      <x:c r="J420" s="162" t="n">
        <x:v>0.231268</x:v>
      </x:c>
      <x:c r="K420" s="157" t="str">
        <x:v>High</x:v>
      </x:c>
      <x:c r="L420" s="157" t="n">
        <x:v>2</x:v>
      </x:c>
      <x:c r="M420" s="157" t="str">
        <x:v>Manual Review</x:v>
      </x:c>
      <x:c r="N420" s="166" t="n">
        <x:v>862269.6</x:v>
      </x:c>
      <x:c r="O420" s="157" t="n">
        <x:v>0</x:v>
      </x:c>
      <x:c r="P420" s="157" t="str">
        <x:v>test</x:v>
      </x:c>
    </x:row>
    <x:row r="421">
      <x:c r="A421" s="157" t="str">
        <x:v>L032886</x:v>
      </x:c>
      <x:c r="B421" s="165" t="n">
        <x:v>44866</x:v>
      </x:c>
      <x:c r="C421" s="157" t="str">
        <x:v>Financials</x:v>
      </x:c>
      <x:c r="D421" s="157" t="str">
        <x:v>revolving</x:v>
      </x:c>
      <x:c r="E421" s="157" t="str">
        <x:v>unsecured</x:v>
      </x:c>
      <x:c r="F421" s="157" t="str">
        <x:v>CCC</x:v>
      </x:c>
      <x:c r="G421" s="157" t="n">
        <x:v>661</x:v>
      </x:c>
      <x:c r="H421" s="166" t="n">
        <x:v>2560551.2</x:v>
      </x:c>
      <x:c r="I421" s="162" t="n">
        <x:v>0.7586</x:v>
      </x:c>
      <x:c r="J421" s="162" t="n">
        <x:v>0.443133</x:v>
      </x:c>
      <x:c r="K421" s="157" t="str">
        <x:v>Very High</x:v>
      </x:c>
      <x:c r="L421" s="157" t="n">
        <x:v>1</x:v>
      </x:c>
      <x:c r="M421" s="157" t="str">
        <x:v>Manual Review</x:v>
      </x:c>
      <x:c r="N421" s="166" t="n">
        <x:v>860756.67</x:v>
      </x:c>
      <x:c r="O421" s="157" t="n">
        <x:v>0</x:v>
      </x:c>
      <x:c r="P421" s="157" t="str">
        <x:v>test</x:v>
      </x:c>
    </x:row>
    <x:row r="422">
      <x:c r="A422" s="157" t="str">
        <x:v>L036795</x:v>
      </x:c>
      <x:c r="B422" s="165" t="n">
        <x:v>44866</x:v>
      </x:c>
      <x:c r="C422" s="157" t="str">
        <x:v>Technology</x:v>
      </x:c>
      <x:c r="D422" s="157" t="str">
        <x:v>term_loan</x:v>
      </x:c>
      <x:c r="E422" s="157" t="str">
        <x:v>unsecured</x:v>
      </x:c>
      <x:c r="F422" s="157" t="str">
        <x:v>B</x:v>
      </x:c>
      <x:c r="G422" s="157" t="n">
        <x:v>682</x:v>
      </x:c>
      <x:c r="H422" s="166" t="n">
        <x:v>5548923.87</x:v>
      </x:c>
      <x:c r="I422" s="162" t="n">
        <x:v>0.568</x:v>
      </x:c>
      <x:c r="J422" s="162" t="n">
        <x:v>0.27307</x:v>
      </x:c>
      <x:c r="K422" s="157" t="str">
        <x:v>High</x:v>
      </x:c>
      <x:c r="L422" s="157" t="n">
        <x:v>1</x:v>
      </x:c>
      <x:c r="M422" s="157" t="str">
        <x:v>Manual Review</x:v>
      </x:c>
      <x:c r="N422" s="166" t="n">
        <x:v>860658.96</x:v>
      </x:c>
      <x:c r="O422" s="157" t="n">
        <x:v>0</x:v>
      </x:c>
      <x:c r="P422" s="157" t="str">
        <x:v>test</x:v>
      </x:c>
    </x:row>
    <x:row r="423">
      <x:c r="A423" s="157" t="str">
        <x:v>L037805</x:v>
      </x:c>
      <x:c r="B423" s="165" t="n">
        <x:v>44652</x:v>
      </x:c>
      <x:c r="C423" s="157" t="str">
        <x:v>Energy</x:v>
      </x:c>
      <x:c r="D423" s="157" t="str">
        <x:v>mortgage</x:v>
      </x:c>
      <x:c r="E423" s="157" t="str">
        <x:v>secured</x:v>
      </x:c>
      <x:c r="F423" s="157" t="str">
        <x:v>CCC</x:v>
      </x:c>
      <x:c r="G423" s="157" t="n">
        <x:v>621</x:v>
      </x:c>
      <x:c r="H423" s="166" t="n">
        <x:v>5899302.38</x:v>
      </x:c>
      <x:c r="I423" s="162" t="n">
        <x:v>0.4542</x:v>
      </x:c>
      <x:c r="J423" s="162" t="n">
        <x:v>0.320266</x:v>
      </x:c>
      <x:c r="K423" s="157" t="str">
        <x:v>Very High</x:v>
      </x:c>
      <x:c r="L423" s="157" t="n">
        <x:v>1</x:v>
      </x:c>
      <x:c r="M423" s="157" t="str">
        <x:v>Manual Review</x:v>
      </x:c>
      <x:c r="N423" s="166" t="n">
        <x:v>858140.94</x:v>
      </x:c>
      <x:c r="O423" s="157" t="n">
        <x:v>0</x:v>
      </x:c>
      <x:c r="P423" s="157" t="str">
        <x:v>test</x:v>
      </x:c>
    </x:row>
    <x:row r="424">
      <x:c r="A424" s="157" t="str">
        <x:v>L010317</x:v>
      </x:c>
      <x:c r="B424" s="165" t="n">
        <x:v>44652</x:v>
      </x:c>
      <x:c r="C424" s="157" t="str">
        <x:v>Technology</x:v>
      </x:c>
      <x:c r="D424" s="157" t="str">
        <x:v>term_loan</x:v>
      </x:c>
      <x:c r="E424" s="157" t="str">
        <x:v>secured</x:v>
      </x:c>
      <x:c r="F424" s="157" t="str">
        <x:v>CCC</x:v>
      </x:c>
      <x:c r="G424" s="157" t="n">
        <x:v>645</x:v>
      </x:c>
      <x:c r="H424" s="166" t="n">
        <x:v>3766776.28</x:v>
      </x:c>
      <x:c r="I424" s="162" t="n">
        <x:v>0.6733</x:v>
      </x:c>
      <x:c r="J424" s="162" t="n">
        <x:v>0.338247</x:v>
      </x:c>
      <x:c r="K424" s="157" t="str">
        <x:v>Very High</x:v>
      </x:c>
      <x:c r="L424" s="157" t="n">
        <x:v>1</x:v>
      </x:c>
      <x:c r="M424" s="157" t="str">
        <x:v>Manual Review</x:v>
      </x:c>
      <x:c r="N424" s="166" t="n">
        <x:v>857852.05</x:v>
      </x:c>
      <x:c r="O424" s="157" t="n">
        <x:v>0</x:v>
      </x:c>
      <x:c r="P424" s="157" t="str">
        <x:v>test</x:v>
      </x:c>
    </x:row>
    <x:row r="425">
      <x:c r="A425" s="157" t="str">
        <x:v>L039963</x:v>
      </x:c>
      <x:c r="B425" s="165" t="n">
        <x:v>44896</x:v>
      </x:c>
      <x:c r="C425" s="157" t="str">
        <x:v>Industrials</x:v>
      </x:c>
      <x:c r="D425" s="157" t="str">
        <x:v>revolving</x:v>
      </x:c>
      <x:c r="E425" s="157" t="str">
        <x:v>unsecured</x:v>
      </x:c>
      <x:c r="F425" s="157" t="str">
        <x:v>BB</x:v>
      </x:c>
      <x:c r="G425" s="157" t="n">
        <x:v>682</x:v>
      </x:c>
      <x:c r="H425" s="166" t="n">
        <x:v>5198472.59</x:v>
      </x:c>
      <x:c r="I425" s="162" t="n">
        <x:v>0.8351</x:v>
      </x:c>
      <x:c r="J425" s="162" t="n">
        <x:v>0.197032</x:v>
      </x:c>
      <x:c r="K425" s="157" t="str">
        <x:v>High</x:v>
      </x:c>
      <x:c r="L425" s="157" t="n">
        <x:v>3</x:v>
      </x:c>
      <x:c r="M425" s="157" t="str">
        <x:v>Manual Review</x:v>
      </x:c>
      <x:c r="N425" s="166" t="n">
        <x:v>855364.08</x:v>
      </x:c>
      <x:c r="O425" s="157" t="n">
        <x:v>0</x:v>
      </x:c>
      <x:c r="P425" s="157" t="str">
        <x:v>test</x:v>
      </x:c>
    </x:row>
    <x:row r="426">
      <x:c r="A426" s="157" t="str">
        <x:v>L043832</x:v>
      </x:c>
      <x:c r="B426" s="165" t="n">
        <x:v>44866</x:v>
      </x:c>
      <x:c r="C426" s="157" t="str">
        <x:v>Telecom</x:v>
      </x:c>
      <x:c r="D426" s="157" t="str">
        <x:v>revolving</x:v>
      </x:c>
      <x:c r="E426" s="157" t="str">
        <x:v>secured</x:v>
      </x:c>
      <x:c r="F426" s="157" t="str">
        <x:v>B</x:v>
      </x:c>
      <x:c r="G426" s="157" t="n">
        <x:v>703</x:v>
      </x:c>
      <x:c r="H426" s="166" t="n">
        <x:v>10284006.99</x:v>
      </x:c>
      <x:c r="I426" s="162" t="n">
        <x:v>0.4785</x:v>
      </x:c>
      <x:c r="J426" s="162" t="n">
        <x:v>0.173207</x:v>
      </x:c>
      <x:c r="K426" s="157" t="str">
        <x:v>High</x:v>
      </x:c>
      <x:c r="L426" s="157" t="n">
        <x:v>4</x:v>
      </x:c>
      <x:c r="M426" s="157" t="str">
        <x:v>Manual Review</x:v>
      </x:c>
      <x:c r="N426" s="166" t="n">
        <x:v>852333.87</x:v>
      </x:c>
      <x:c r="O426" s="157" t="n">
        <x:v>0</x:v>
      </x:c>
      <x:c r="P426" s="157" t="str">
        <x:v>test</x:v>
      </x:c>
    </x:row>
    <x:row r="427">
      <x:c r="A427" s="157" t="str">
        <x:v>L039362</x:v>
      </x:c>
      <x:c r="B427" s="165" t="n">
        <x:v>44774</x:v>
      </x:c>
      <x:c r="C427" s="157" t="str">
        <x:v>Real_Estate</x:v>
      </x:c>
      <x:c r="D427" s="157" t="str">
        <x:v>mortgage</x:v>
      </x:c>
      <x:c r="E427" s="157" t="str">
        <x:v>unsecured</x:v>
      </x:c>
      <x:c r="F427" s="157" t="str">
        <x:v>B</x:v>
      </x:c>
      <x:c r="G427" s="157" t="n">
        <x:v>650</x:v>
      </x:c>
      <x:c r="H427" s="166" t="n">
        <x:v>7472342.23</x:v>
      </x:c>
      <x:c r="I427" s="162" t="n">
        <x:v>0.4568</x:v>
      </x:c>
      <x:c r="J427" s="162" t="n">
        <x:v>0.249119</x:v>
      </x:c>
      <x:c r="K427" s="157" t="str">
        <x:v>High</x:v>
      </x:c>
      <x:c r="L427" s="157" t="n">
        <x:v>2</x:v>
      </x:c>
      <x:c r="M427" s="157" t="str">
        <x:v>Manual Review</x:v>
      </x:c>
      <x:c r="N427" s="166" t="n">
        <x:v>850334.31</x:v>
      </x:c>
      <x:c r="O427" s="157" t="n">
        <x:v>1</x:v>
      </x:c>
      <x:c r="P427" s="157" t="str">
        <x:v>test</x:v>
      </x:c>
    </x:row>
    <x:row r="428">
      <x:c r="A428" s="157" t="str">
        <x:v>L030569</x:v>
      </x:c>
      <x:c r="B428" s="165" t="n">
        <x:v>44866</x:v>
      </x:c>
      <x:c r="C428" s="157" t="str">
        <x:v>Retail</x:v>
      </x:c>
      <x:c r="D428" s="157" t="str">
        <x:v>mortgage</x:v>
      </x:c>
      <x:c r="E428" s="157" t="str">
        <x:v>unsecured</x:v>
      </x:c>
      <x:c r="F428" s="157" t="str">
        <x:v>B</x:v>
      </x:c>
      <x:c r="G428" s="157" t="n">
        <x:v>619</x:v>
      </x:c>
      <x:c r="H428" s="166" t="n">
        <x:v>3660886.32</x:v>
      </x:c>
      <x:c r="I428" s="162" t="n">
        <x:v>0.8099</x:v>
      </x:c>
      <x:c r="J428" s="162" t="n">
        <x:v>0.286332</x:v>
      </x:c>
      <x:c r="K428" s="157" t="str">
        <x:v>High</x:v>
      </x:c>
      <x:c r="L428" s="157" t="n">
        <x:v>1</x:v>
      </x:c>
      <x:c r="M428" s="157" t="str">
        <x:v>Manual Review</x:v>
      </x:c>
      <x:c r="N428" s="166" t="n">
        <x:v>848960.59</x:v>
      </x:c>
      <x:c r="O428" s="157" t="n">
        <x:v>0</x:v>
      </x:c>
      <x:c r="P428" s="157" t="str">
        <x:v>test</x:v>
      </x:c>
    </x:row>
    <x:row r="429">
      <x:c r="A429" s="157" t="str">
        <x:v>L031435</x:v>
      </x:c>
      <x:c r="B429" s="165" t="n">
        <x:v>45047</x:v>
      </x:c>
      <x:c r="C429" s="157" t="str">
        <x:v>Telecom</x:v>
      </x:c>
      <x:c r="D429" s="157" t="str">
        <x:v>mortgage</x:v>
      </x:c>
      <x:c r="E429" s="157" t="str">
        <x:v>partially_secured</x:v>
      </x:c>
      <x:c r="F429" s="157" t="str">
        <x:v>B</x:v>
      </x:c>
      <x:c r="G429" s="157" t="n">
        <x:v>694</x:v>
      </x:c>
      <x:c r="H429" s="166" t="n">
        <x:v>7408275.97</x:v>
      </x:c>
      <x:c r="I429" s="162" t="n">
        <x:v>0.5718</x:v>
      </x:c>
      <x:c r="J429" s="162" t="n">
        <x:v>0.200177</x:v>
      </x:c>
      <x:c r="K429" s="157" t="str">
        <x:v>High</x:v>
      </x:c>
      <x:c r="L429" s="157" t="n">
        <x:v>3</x:v>
      </x:c>
      <x:c r="M429" s="157" t="str">
        <x:v>Manual Review</x:v>
      </x:c>
      <x:c r="N429" s="166" t="n">
        <x:v>847960.22</x:v>
      </x:c>
      <x:c r="O429" s="157" t="n">
        <x:v>0</x:v>
      </x:c>
      <x:c r="P429" s="157" t="str">
        <x:v>test</x:v>
      </x:c>
    </x:row>
    <x:row r="430">
      <x:c r="A430" s="157" t="str">
        <x:v>L041715</x:v>
      </x:c>
      <x:c r="B430" s="165" t="n">
        <x:v>44896</x:v>
      </x:c>
      <x:c r="C430" s="157" t="str">
        <x:v>Financials</x:v>
      </x:c>
      <x:c r="D430" s="157" t="str">
        <x:v>mortgage</x:v>
      </x:c>
      <x:c r="E430" s="157" t="str">
        <x:v>unsecured</x:v>
      </x:c>
      <x:c r="F430" s="157" t="str">
        <x:v>B</x:v>
      </x:c>
      <x:c r="G430" s="157" t="n">
        <x:v>638</x:v>
      </x:c>
      <x:c r="H430" s="166" t="n">
        <x:v>8605091.71</x:v>
      </x:c>
      <x:c r="I430" s="162" t="n">
        <x:v>0.5459</x:v>
      </x:c>
      <x:c r="J430" s="162" t="n">
        <x:v>0.179752</x:v>
      </x:c>
      <x:c r="K430" s="157" t="str">
        <x:v>High</x:v>
      </x:c>
      <x:c r="L430" s="157" t="n">
        <x:v>3</x:v>
      </x:c>
      <x:c r="M430" s="157" t="str">
        <x:v>Manual Review</x:v>
      </x:c>
      <x:c r="N430" s="166" t="n">
        <x:v>844388.54</x:v>
      </x:c>
      <x:c r="O430" s="157" t="n">
        <x:v>0</x:v>
      </x:c>
      <x:c r="P430" s="157" t="str">
        <x:v>test</x:v>
      </x:c>
    </x:row>
    <x:row r="431">
      <x:c r="A431" s="157" t="str">
        <x:v>L004995</x:v>
      </x:c>
      <x:c r="B431" s="165" t="n">
        <x:v>44927</x:v>
      </x:c>
      <x:c r="C431" s="157" t="str">
        <x:v>Energy</x:v>
      </x:c>
      <x:c r="D431" s="157" t="str">
        <x:v>revolving</x:v>
      </x:c>
      <x:c r="E431" s="157" t="str">
        <x:v>unsecured</x:v>
      </x:c>
      <x:c r="F431" s="157" t="str">
        <x:v>CCC</x:v>
      </x:c>
      <x:c r="G431" s="157" t="n">
        <x:v>638</x:v>
      </x:c>
      <x:c r="H431" s="166" t="n">
        <x:v>3013588.62</x:v>
      </x:c>
      <x:c r="I431" s="162" t="n">
        <x:v>0.6502</x:v>
      </x:c>
      <x:c r="J431" s="162" t="n">
        <x:v>0.430862</x:v>
      </x:c>
      <x:c r="K431" s="157" t="str">
        <x:v>Very High</x:v>
      </x:c>
      <x:c r="L431" s="157" t="n">
        <x:v>1</x:v>
      </x:c>
      <x:c r="M431" s="157" t="str">
        <x:v>Manual Review</x:v>
      </x:c>
      <x:c r="N431" s="166" t="n">
        <x:v>844246.22</x:v>
      </x:c>
      <x:c r="O431" s="157" t="n">
        <x:v>1</x:v>
      </x:c>
      <x:c r="P431" s="157" t="str">
        <x:v>test</x:v>
      </x:c>
    </x:row>
    <x:row r="432">
      <x:c r="A432" s="157" t="str">
        <x:v>L045017</x:v>
      </x:c>
      <x:c r="B432" s="165" t="n">
        <x:v>45170</x:v>
      </x:c>
      <x:c r="C432" s="157" t="str">
        <x:v>Consumer</x:v>
      </x:c>
      <x:c r="D432" s="157" t="str">
        <x:v>mortgage</x:v>
      </x:c>
      <x:c r="E432" s="157" t="str">
        <x:v>partially_secured</x:v>
      </x:c>
      <x:c r="F432" s="157" t="str">
        <x:v>B</x:v>
      </x:c>
      <x:c r="G432" s="157" t="n">
        <x:v>662</x:v>
      </x:c>
      <x:c r="H432" s="166" t="n">
        <x:v>6362550.49</x:v>
      </x:c>
      <x:c r="I432" s="162" t="n">
        <x:v>0.5099</x:v>
      </x:c>
      <x:c r="J432" s="162" t="n">
        <x:v>0.25974</x:v>
      </x:c>
      <x:c r="K432" s="157" t="str">
        <x:v>High</x:v>
      </x:c>
      <x:c r="L432" s="157" t="n">
        <x:v>2</x:v>
      </x:c>
      <x:c r="M432" s="157" t="str">
        <x:v>Manual Review</x:v>
      </x:c>
      <x:c r="N432" s="166" t="n">
        <x:v>842665.26</x:v>
      </x:c>
      <x:c r="O432" s="157" t="n">
        <x:v>0</x:v>
      </x:c>
      <x:c r="P432" s="157" t="str">
        <x:v>test</x:v>
      </x:c>
    </x:row>
    <x:row r="433">
      <x:c r="A433" s="157" t="str">
        <x:v>L010727</x:v>
      </x:c>
      <x:c r="B433" s="165" t="n">
        <x:v>45170</x:v>
      </x:c>
      <x:c r="C433" s="157" t="str">
        <x:v>Retail</x:v>
      </x:c>
      <x:c r="D433" s="157" t="str">
        <x:v>term_loan</x:v>
      </x:c>
      <x:c r="E433" s="157" t="str">
        <x:v>partially_secured</x:v>
      </x:c>
      <x:c r="F433" s="157" t="str">
        <x:v>B</x:v>
      </x:c>
      <x:c r="G433" s="157" t="n">
        <x:v>650</x:v>
      </x:c>
      <x:c r="H433" s="166" t="n">
        <x:v>5532264.56</x:v>
      </x:c>
      <x:c r="I433" s="162" t="n">
        <x:v>0.573</x:v>
      </x:c>
      <x:c r="J433" s="162" t="n">
        <x:v>0.265528</x:v>
      </x:c>
      <x:c r="K433" s="157" t="str">
        <x:v>High</x:v>
      </x:c>
      <x:c r="L433" s="157" t="n">
        <x:v>2</x:v>
      </x:c>
      <x:c r="M433" s="157" t="str">
        <x:v>Manual Review</x:v>
      </x:c>
      <x:c r="N433" s="166" t="n">
        <x:v>841720.47</x:v>
      </x:c>
      <x:c r="O433" s="157" t="n">
        <x:v>0</x:v>
      </x:c>
      <x:c r="P433" s="157" t="str">
        <x:v>test</x:v>
      </x:c>
    </x:row>
    <x:row r="434">
      <x:c r="A434" s="157" t="str">
        <x:v>L042274</x:v>
      </x:c>
      <x:c r="B434" s="165" t="n">
        <x:v>45139</x:v>
      </x:c>
      <x:c r="C434" s="157" t="str">
        <x:v>Real_Estate</x:v>
      </x:c>
      <x:c r="D434" s="157" t="str">
        <x:v>mortgage</x:v>
      </x:c>
      <x:c r="E434" s="157" t="str">
        <x:v>unsecured</x:v>
      </x:c>
      <x:c r="F434" s="157" t="str">
        <x:v>CCC</x:v>
      </x:c>
      <x:c r="G434" s="157" t="n">
        <x:v>678</x:v>
      </x:c>
      <x:c r="H434" s="166" t="n">
        <x:v>3102899.89</x:v>
      </x:c>
      <x:c r="I434" s="162" t="n">
        <x:v>0.6835</x:v>
      </x:c>
      <x:c r="J434" s="162" t="n">
        <x:v>0.396358</x:v>
      </x:c>
      <x:c r="K434" s="157" t="str">
        <x:v>Very High</x:v>
      </x:c>
      <x:c r="L434" s="157" t="n">
        <x:v>1</x:v>
      </x:c>
      <x:c r="M434" s="157" t="str">
        <x:v>Manual Review</x:v>
      </x:c>
      <x:c r="N434" s="166" t="n">
        <x:v>840608.76</x:v>
      </x:c>
      <x:c r="O434" s="157" t="n">
        <x:v>0</x:v>
      </x:c>
      <x:c r="P434" s="157" t="str">
        <x:v>test</x:v>
      </x:c>
    </x:row>
    <x:row r="435">
      <x:c r="A435" s="157" t="str">
        <x:v>L026501</x:v>
      </x:c>
      <x:c r="B435" s="165" t="n">
        <x:v>45139</x:v>
      </x:c>
      <x:c r="C435" s="157" t="str">
        <x:v>Real_Estate</x:v>
      </x:c>
      <x:c r="D435" s="157" t="str">
        <x:v>bond</x:v>
      </x:c>
      <x:c r="E435" s="157" t="str">
        <x:v>unsecured</x:v>
      </x:c>
      <x:c r="F435" s="157" t="str">
        <x:v>B</x:v>
      </x:c>
      <x:c r="G435" s="157" t="n">
        <x:v>649</x:v>
      </x:c>
      <x:c r="H435" s="166" t="n">
        <x:v>7307273.19</x:v>
      </x:c>
      <x:c r="I435" s="162" t="n">
        <x:v>0.5112</x:v>
      </x:c>
      <x:c r="J435" s="162" t="n">
        <x:v>0.225017</x:v>
      </x:c>
      <x:c r="K435" s="157" t="str">
        <x:v>High</x:v>
      </x:c>
      <x:c r="L435" s="157" t="n">
        <x:v>2</x:v>
      </x:c>
      <x:c r="M435" s="157" t="str">
        <x:v>Manual Review</x:v>
      </x:c>
      <x:c r="N435" s="166" t="n">
        <x:v>840546.07</x:v>
      </x:c>
      <x:c r="O435" s="157" t="n">
        <x:v>0</x:v>
      </x:c>
      <x:c r="P435" s="157" t="str">
        <x:v>test</x:v>
      </x:c>
    </x:row>
    <x:row r="436">
      <x:c r="A436" s="157" t="str">
        <x:v>L022006</x:v>
      </x:c>
      <x:c r="B436" s="165" t="n">
        <x:v>44958</x:v>
      </x:c>
      <x:c r="C436" s="157" t="str">
        <x:v>Retail</x:v>
      </x:c>
      <x:c r="D436" s="157" t="str">
        <x:v>revolving</x:v>
      </x:c>
      <x:c r="E436" s="157" t="str">
        <x:v>partially_secured</x:v>
      </x:c>
      <x:c r="F436" s="157" t="str">
        <x:v>B</x:v>
      </x:c>
      <x:c r="G436" s="157" t="n">
        <x:v>680</x:v>
      </x:c>
      <x:c r="H436" s="166" t="n">
        <x:v>5616440.87</x:v>
      </x:c>
      <x:c r="I436" s="162" t="n">
        <x:v>0.6868</x:v>
      </x:c>
      <x:c r="J436" s="162" t="n">
        <x:v>0.217816</x:v>
      </x:c>
      <x:c r="K436" s="157" t="str">
        <x:v>High</x:v>
      </x:c>
      <x:c r="L436" s="157" t="n">
        <x:v>2</x:v>
      </x:c>
      <x:c r="M436" s="157" t="str">
        <x:v>Manual Review</x:v>
      </x:c>
      <x:c r="N436" s="166" t="n">
        <x:v>840197.25</x:v>
      </x:c>
      <x:c r="O436" s="157" t="n">
        <x:v>0</x:v>
      </x:c>
      <x:c r="P436" s="157" t="str">
        <x:v>test</x:v>
      </x:c>
    </x:row>
    <x:row r="437">
      <x:c r="A437" s="157" t="str">
        <x:v>L028795</x:v>
      </x:c>
      <x:c r="B437" s="165" t="n">
        <x:v>45047</x:v>
      </x:c>
      <x:c r="C437" s="157" t="str">
        <x:v>Telecom</x:v>
      </x:c>
      <x:c r="D437" s="157" t="str">
        <x:v>term_loan</x:v>
      </x:c>
      <x:c r="E437" s="157" t="str">
        <x:v>unsecured</x:v>
      </x:c>
      <x:c r="F437" s="157" t="str">
        <x:v>BBB</x:v>
      </x:c>
      <x:c r="G437" s="157" t="n">
        <x:v>757</x:v>
      </x:c>
      <x:c r="H437" s="166" t="n">
        <x:v>6938666.71</x:v>
      </x:c>
      <x:c r="I437" s="162" t="n">
        <x:v>0.6775</x:v>
      </x:c>
      <x:c r="J437" s="162" t="n">
        <x:v>0.177117</x:v>
      </x:c>
      <x:c r="K437" s="157" t="str">
        <x:v>High</x:v>
      </x:c>
      <x:c r="L437" s="157" t="n">
        <x:v>4</x:v>
      </x:c>
      <x:c r="M437" s="157" t="str">
        <x:v>Manual Review</x:v>
      </x:c>
      <x:c r="N437" s="166" t="n">
        <x:v>832617.58</x:v>
      </x:c>
      <x:c r="O437" s="157" t="n">
        <x:v>1</x:v>
      </x:c>
      <x:c r="P437" s="157" t="str">
        <x:v>test</x:v>
      </x:c>
    </x:row>
    <x:row r="438">
      <x:c r="A438" s="157" t="str">
        <x:v>L012254</x:v>
      </x:c>
      <x:c r="B438" s="165" t="n">
        <x:v>44986</x:v>
      </x:c>
      <x:c r="C438" s="157" t="str">
        <x:v>Real_Estate</x:v>
      </x:c>
      <x:c r="D438" s="157" t="str">
        <x:v>bond</x:v>
      </x:c>
      <x:c r="E438" s="157" t="str">
        <x:v>secured</x:v>
      </x:c>
      <x:c r="F438" s="157" t="str">
        <x:v>CCC</x:v>
      </x:c>
      <x:c r="G438" s="157" t="n">
        <x:v>675</x:v>
      </x:c>
      <x:c r="H438" s="166" t="n">
        <x:v>8315049.58</x:v>
      </x:c>
      <x:c r="I438" s="162" t="n">
        <x:v>0.2367</x:v>
      </x:c>
      <x:c r="J438" s="162" t="n">
        <x:v>0.42269</x:v>
      </x:c>
      <x:c r="K438" s="157" t="str">
        <x:v>Very High</x:v>
      </x:c>
      <x:c r="L438" s="157" t="n">
        <x:v>1</x:v>
      </x:c>
      <x:c r="M438" s="157" t="str">
        <x:v>Manual Review</x:v>
      </x:c>
      <x:c r="N438" s="166" t="n">
        <x:v>831926.72</x:v>
      </x:c>
      <x:c r="O438" s="157" t="n">
        <x:v>1</x:v>
      </x:c>
      <x:c r="P438" s="157" t="str">
        <x:v>test</x:v>
      </x:c>
    </x:row>
    <x:row r="439">
      <x:c r="A439" s="157" t="str">
        <x:v>L038280</x:v>
      </x:c>
      <x:c r="B439" s="165" t="n">
        <x:v>44805</x:v>
      </x:c>
      <x:c r="C439" s="157" t="str">
        <x:v>Telecom</x:v>
      </x:c>
      <x:c r="D439" s="157" t="str">
        <x:v>term_loan</x:v>
      </x:c>
      <x:c r="E439" s="157" t="str">
        <x:v>unsecured</x:v>
      </x:c>
      <x:c r="F439" s="157" t="str">
        <x:v>CCC</x:v>
      </x:c>
      <x:c r="G439" s="157" t="n">
        <x:v>661</x:v>
      </x:c>
      <x:c r="H439" s="166" t="n">
        <x:v>3460704.44</x:v>
      </x:c>
      <x:c r="I439" s="162" t="n">
        <x:v>0.6128</x:v>
      </x:c>
      <x:c r="J439" s="162" t="n">
        <x:v>0.39175</x:v>
      </x:c>
      <x:c r="K439" s="157" t="str">
        <x:v>Very High</x:v>
      </x:c>
      <x:c r="L439" s="157" t="n">
        <x:v>1</x:v>
      </x:c>
      <x:c r="M439" s="157" t="str">
        <x:v>Manual Review</x:v>
      </x:c>
      <x:c r="N439" s="166" t="n">
        <x:v>830791.93</x:v>
      </x:c>
      <x:c r="O439" s="157" t="n">
        <x:v>1</x:v>
      </x:c>
      <x:c r="P439" s="157" t="str">
        <x:v>test</x:v>
      </x:c>
    </x:row>
    <x:row r="440">
      <x:c r="A440" s="157" t="str">
        <x:v>L005936</x:v>
      </x:c>
      <x:c r="B440" s="165" t="n">
        <x:v>44682</x:v>
      </x:c>
      <x:c r="C440" s="157" t="str">
        <x:v>Utilities</x:v>
      </x:c>
      <x:c r="D440" s="157" t="str">
        <x:v>mortgage</x:v>
      </x:c>
      <x:c r="E440" s="157" t="str">
        <x:v>secured</x:v>
      </x:c>
      <x:c r="F440" s="157" t="str">
        <x:v>CCC</x:v>
      </x:c>
      <x:c r="G440" s="157" t="n">
        <x:v>660</x:v>
      </x:c>
      <x:c r="H440" s="166" t="n">
        <x:v>3876303.56</x:v>
      </x:c>
      <x:c r="I440" s="162" t="n">
        <x:v>0.4764</x:v>
      </x:c>
      <x:c r="J440" s="162" t="n">
        <x:v>0.447843</x:v>
      </x:c>
      <x:c r="K440" s="157" t="str">
        <x:v>Very High</x:v>
      </x:c>
      <x:c r="L440" s="157" t="n">
        <x:v>1</x:v>
      </x:c>
      <x:c r="M440" s="157" t="str">
        <x:v>Manual Review</x:v>
      </x:c>
      <x:c r="N440" s="166" t="n">
        <x:v>827018.69</x:v>
      </x:c>
      <x:c r="O440" s="157" t="n">
        <x:v>1</x:v>
      </x:c>
      <x:c r="P440" s="157" t="str">
        <x:v>test</x:v>
      </x:c>
    </x:row>
    <x:row r="441">
      <x:c r="A441" s="157" t="str">
        <x:v>L011611</x:v>
      </x:c>
      <x:c r="B441" s="165" t="n">
        <x:v>45261</x:v>
      </x:c>
      <x:c r="C441" s="157" t="str">
        <x:v>Telecom</x:v>
      </x:c>
      <x:c r="D441" s="157" t="str">
        <x:v>revolving</x:v>
      </x:c>
      <x:c r="E441" s="157" t="str">
        <x:v>secured</x:v>
      </x:c>
      <x:c r="F441" s="157" t="str">
        <x:v>CCC</x:v>
      </x:c>
      <x:c r="G441" s="157" t="n">
        <x:v>669</x:v>
      </x:c>
      <x:c r="H441" s="166" t="n">
        <x:v>2948735.43</x:v>
      </x:c>
      <x:c r="I441" s="162" t="n">
        <x:v>0.6692</x:v>
      </x:c>
      <x:c r="J441" s="162" t="n">
        <x:v>0.41902</x:v>
      </x:c>
      <x:c r="K441" s="157" t="str">
        <x:v>Very High</x:v>
      </x:c>
      <x:c r="L441" s="157" t="n">
        <x:v>1</x:v>
      </x:c>
      <x:c r="M441" s="157" t="str">
        <x:v>Manual Review</x:v>
      </x:c>
      <x:c r="N441" s="166" t="n">
        <x:v>826849.55</x:v>
      </x:c>
      <x:c r="O441" s="157" t="n">
        <x:v>1</x:v>
      </x:c>
      <x:c r="P441" s="157" t="str">
        <x:v>test</x:v>
      </x:c>
    </x:row>
    <x:row r="442">
      <x:c r="A442" s="157" t="str">
        <x:v>L049047</x:v>
      </x:c>
      <x:c r="B442" s="165" t="n">
        <x:v>45200</x:v>
      </x:c>
      <x:c r="C442" s="157" t="str">
        <x:v>Telecom</x:v>
      </x:c>
      <x:c r="D442" s="157" t="str">
        <x:v>bond</x:v>
      </x:c>
      <x:c r="E442" s="157" t="str">
        <x:v>secured</x:v>
      </x:c>
      <x:c r="F442" s="157" t="str">
        <x:v>CCC</x:v>
      </x:c>
      <x:c r="G442" s="157" t="n">
        <x:v>607</x:v>
      </x:c>
      <x:c r="H442" s="166" t="n">
        <x:v>6326702.82</x:v>
      </x:c>
      <x:c r="I442" s="162" t="n">
        <x:v>0.3244</x:v>
      </x:c>
      <x:c r="J442" s="162" t="n">
        <x:v>0.402264</x:v>
      </x:c>
      <x:c r="K442" s="157" t="str">
        <x:v>Very High</x:v>
      </x:c>
      <x:c r="L442" s="157" t="n">
        <x:v>1</x:v>
      </x:c>
      <x:c r="M442" s="157" t="str">
        <x:v>Manual Review</x:v>
      </x:c>
      <x:c r="N442" s="166" t="n">
        <x:v>825599.55</x:v>
      </x:c>
      <x:c r="O442" s="157" t="n">
        <x:v>0</x:v>
      </x:c>
      <x:c r="P442" s="157" t="str">
        <x:v>test</x:v>
      </x:c>
    </x:row>
    <x:row r="443">
      <x:c r="A443" s="157" t="str">
        <x:v>L021439</x:v>
      </x:c>
      <x:c r="B443" s="165" t="n">
        <x:v>45139</x:v>
      </x:c>
      <x:c r="C443" s="157" t="str">
        <x:v>Utilities</x:v>
      </x:c>
      <x:c r="D443" s="157" t="str">
        <x:v>term_loan</x:v>
      </x:c>
      <x:c r="E443" s="157" t="str">
        <x:v>partially_secured</x:v>
      </x:c>
      <x:c r="F443" s="157" t="str">
        <x:v>B</x:v>
      </x:c>
      <x:c r="G443" s="157" t="n">
        <x:v>694</x:v>
      </x:c>
      <x:c r="H443" s="166" t="n">
        <x:v>7095359.78</x:v>
      </x:c>
      <x:c r="I443" s="162" t="n">
        <x:v>0.6374</x:v>
      </x:c>
      <x:c r="J443" s="162" t="n">
        <x:v>0.181152</x:v>
      </x:c>
      <x:c r="K443" s="157" t="str">
        <x:v>High</x:v>
      </x:c>
      <x:c r="L443" s="157" t="n">
        <x:v>3</x:v>
      </x:c>
      <x:c r="M443" s="157" t="str">
        <x:v>Manual Review</x:v>
      </x:c>
      <x:c r="N443" s="166" t="n">
        <x:v>819274.83</x:v>
      </x:c>
      <x:c r="O443" s="157" t="n">
        <x:v>0</x:v>
      </x:c>
      <x:c r="P443" s="157" t="str">
        <x:v>test</x:v>
      </x:c>
    </x:row>
    <x:row r="444">
      <x:c r="A444" s="157" t="str">
        <x:v>L043979</x:v>
      </x:c>
      <x:c r="B444" s="165" t="n">
        <x:v>44652</x:v>
      </x:c>
      <x:c r="C444" s="157" t="str">
        <x:v>Technology</x:v>
      </x:c>
      <x:c r="D444" s="157" t="str">
        <x:v>mortgage</x:v>
      </x:c>
      <x:c r="E444" s="157" t="str">
        <x:v>secured</x:v>
      </x:c>
      <x:c r="F444" s="157" t="str">
        <x:v>B</x:v>
      </x:c>
      <x:c r="G444" s="157" t="n">
        <x:v>683</x:v>
      </x:c>
      <x:c r="H444" s="166" t="n">
        <x:v>5910399.25</x:v>
      </x:c>
      <x:c r="I444" s="162" t="n">
        <x:v>0.6855</x:v>
      </x:c>
      <x:c r="J444" s="162" t="n">
        <x:v>0.202185</x:v>
      </x:c>
      <x:c r="K444" s="157" t="str">
        <x:v>High</x:v>
      </x:c>
      <x:c r="L444" s="157" t="n">
        <x:v>3</x:v>
      </x:c>
      <x:c r="M444" s="157" t="str">
        <x:v>Manual Review</x:v>
      </x:c>
      <x:c r="N444" s="166" t="n">
        <x:v>819168.44</x:v>
      </x:c>
      <x:c r="O444" s="157" t="n">
        <x:v>0</x:v>
      </x:c>
      <x:c r="P444" s="157" t="str">
        <x:v>test</x:v>
      </x:c>
    </x:row>
    <x:row r="445">
      <x:c r="A445" s="157" t="str">
        <x:v>L047012</x:v>
      </x:c>
      <x:c r="B445" s="165" t="n">
        <x:v>45261</x:v>
      </x:c>
      <x:c r="C445" s="157" t="str">
        <x:v>Consumer</x:v>
      </x:c>
      <x:c r="D445" s="157" t="str">
        <x:v>mortgage</x:v>
      </x:c>
      <x:c r="E445" s="157" t="str">
        <x:v>unsecured</x:v>
      </x:c>
      <x:c r="F445" s="157" t="str">
        <x:v>BBB</x:v>
      </x:c>
      <x:c r="G445" s="157" t="n">
        <x:v>668</x:v>
      </x:c>
      <x:c r="H445" s="166" t="n">
        <x:v>7980156.18</x:v>
      </x:c>
      <x:c r="I445" s="162" t="n">
        <x:v>0.5854</x:v>
      </x:c>
      <x:c r="J445" s="162" t="n">
        <x:v>0.175347</x:v>
      </x:c>
      <x:c r="K445" s="157" t="str">
        <x:v>High</x:v>
      </x:c>
      <x:c r="L445" s="157" t="n">
        <x:v>4</x:v>
      </x:c>
      <x:c r="M445" s="157" t="str">
        <x:v>Manual Review</x:v>
      </x:c>
      <x:c r="N445" s="166" t="n">
        <x:v>819148.14</x:v>
      </x:c>
      <x:c r="O445" s="157" t="n">
        <x:v>0</x:v>
      </x:c>
      <x:c r="P445" s="157" t="str">
        <x:v>test</x:v>
      </x:c>
    </x:row>
    <x:row r="446">
      <x:c r="A446" s="157" t="str">
        <x:v>L014044</x:v>
      </x:c>
      <x:c r="B446" s="165" t="n">
        <x:v>44958</x:v>
      </x:c>
      <x:c r="C446" s="157" t="str">
        <x:v>Industrials</x:v>
      </x:c>
      <x:c r="D446" s="157" t="str">
        <x:v>revolving</x:v>
      </x:c>
      <x:c r="E446" s="157" t="str">
        <x:v>unsecured</x:v>
      </x:c>
      <x:c r="F446" s="157" t="str">
        <x:v>CCC</x:v>
      </x:c>
      <x:c r="G446" s="157" t="n">
        <x:v>633</x:v>
      </x:c>
      <x:c r="H446" s="166" t="n">
        <x:v>3937612.01</x:v>
      </x:c>
      <x:c r="I446" s="162" t="n">
        <x:v>0.4749</x:v>
      </x:c>
      <x:c r="J446" s="162" t="n">
        <x:v>0.436197</x:v>
      </x:c>
      <x:c r="K446" s="157" t="str">
        <x:v>Very High</x:v>
      </x:c>
      <x:c r="L446" s="157" t="n">
        <x:v>1</x:v>
      </x:c>
      <x:c r="M446" s="157" t="str">
        <x:v>Manual Review</x:v>
      </x:c>
      <x:c r="N446" s="166" t="n">
        <x:v>815676.15</x:v>
      </x:c>
      <x:c r="O446" s="157" t="n">
        <x:v>1</x:v>
      </x:c>
      <x:c r="P446" s="157" t="str">
        <x:v>test</x:v>
      </x:c>
    </x:row>
    <x:row r="447">
      <x:c r="A447" s="157" t="str">
        <x:v>L029475</x:v>
      </x:c>
      <x:c r="B447" s="165" t="n">
        <x:v>44593</x:v>
      </x:c>
      <x:c r="C447" s="157" t="str">
        <x:v>Financials</x:v>
      </x:c>
      <x:c r="D447" s="157" t="str">
        <x:v>mortgage</x:v>
      </x:c>
      <x:c r="E447" s="157" t="str">
        <x:v>partially_secured</x:v>
      </x:c>
      <x:c r="F447" s="157" t="str">
        <x:v>CCC</x:v>
      </x:c>
      <x:c r="G447" s="157" t="n">
        <x:v>622</x:v>
      </x:c>
      <x:c r="H447" s="166" t="n">
        <x:v>4214663.61</x:v>
      </x:c>
      <x:c r="I447" s="162" t="n">
        <x:v>0.5057</x:v>
      </x:c>
      <x:c r="J447" s="162" t="n">
        <x:v>0.381197</x:v>
      </x:c>
      <x:c r="K447" s="157" t="str">
        <x:v>Very High</x:v>
      </x:c>
      <x:c r="L447" s="157" t="n">
        <x:v>1</x:v>
      </x:c>
      <x:c r="M447" s="157" t="str">
        <x:v>Manual Review</x:v>
      </x:c>
      <x:c r="N447" s="166" t="n">
        <x:v>812466.28</x:v>
      </x:c>
      <x:c r="O447" s="157" t="n">
        <x:v>0</x:v>
      </x:c>
      <x:c r="P447" s="157" t="str">
        <x:v>test</x:v>
      </x:c>
    </x:row>
    <x:row r="448">
      <x:c r="A448" s="157" t="str">
        <x:v>L040720</x:v>
      </x:c>
      <x:c r="B448" s="165" t="n">
        <x:v>44682</x:v>
      </x:c>
      <x:c r="C448" s="157" t="str">
        <x:v>Financials</x:v>
      </x:c>
      <x:c r="D448" s="157" t="str">
        <x:v>term_loan</x:v>
      </x:c>
      <x:c r="E448" s="157" t="str">
        <x:v>secured</x:v>
      </x:c>
      <x:c r="F448" s="157" t="str">
        <x:v>BB</x:v>
      </x:c>
      <x:c r="G448" s="157" t="n">
        <x:v>728</x:v>
      </x:c>
      <x:c r="H448" s="166" t="n">
        <x:v>7247099.53</x:v>
      </x:c>
      <x:c r="I448" s="162" t="n">
        <x:v>0.5934</x:v>
      </x:c>
      <x:c r="J448" s="162" t="n">
        <x:v>0.1884</x:v>
      </x:c>
      <x:c r="K448" s="157" t="str">
        <x:v>High</x:v>
      </x:c>
      <x:c r="L448" s="157" t="n">
        <x:v>3</x:v>
      </x:c>
      <x:c r="M448" s="157" t="str">
        <x:v>Manual Review</x:v>
      </x:c>
      <x:c r="N448" s="166" t="n">
        <x:v>810200.8</x:v>
      </x:c>
      <x:c r="O448" s="157" t="n">
        <x:v>0</x:v>
      </x:c>
      <x:c r="P448" s="157" t="str">
        <x:v>test</x:v>
      </x:c>
    </x:row>
    <x:row r="449">
      <x:c r="A449" s="157" t="str">
        <x:v>L011300</x:v>
      </x:c>
      <x:c r="B449" s="165" t="n">
        <x:v>44866</x:v>
      </x:c>
      <x:c r="C449" s="157" t="str">
        <x:v>Energy</x:v>
      </x:c>
      <x:c r="D449" s="157" t="str">
        <x:v>mortgage</x:v>
      </x:c>
      <x:c r="E449" s="157" t="str">
        <x:v>partially_secured</x:v>
      </x:c>
      <x:c r="F449" s="157" t="str">
        <x:v>BB</x:v>
      </x:c>
      <x:c r="G449" s="157" t="n">
        <x:v>768</x:v>
      </x:c>
      <x:c r="H449" s="166" t="n">
        <x:v>10863054.06</x:v>
      </x:c>
      <x:c r="I449" s="162" t="n">
        <x:v>0.4296</x:v>
      </x:c>
      <x:c r="J449" s="162" t="n">
        <x:v>0.173586</x:v>
      </x:c>
      <x:c r="K449" s="157" t="str">
        <x:v>High</x:v>
      </x:c>
      <x:c r="L449" s="157" t="n">
        <x:v>4</x:v>
      </x:c>
      <x:c r="M449" s="157" t="str">
        <x:v>Manual Review</x:v>
      </x:c>
      <x:c r="N449" s="166" t="n">
        <x:v>810085.59</x:v>
      </x:c>
      <x:c r="O449" s="157" t="n">
        <x:v>0</x:v>
      </x:c>
      <x:c r="P449" s="157" t="str">
        <x:v>test</x:v>
      </x:c>
    </x:row>
    <x:row r="450">
      <x:c r="A450" s="157" t="str">
        <x:v>L039456</x:v>
      </x:c>
      <x:c r="B450" s="165" t="n">
        <x:v>45200</x:v>
      </x:c>
      <x:c r="C450" s="157" t="str">
        <x:v>Financials</x:v>
      </x:c>
      <x:c r="D450" s="157" t="str">
        <x:v>mortgage</x:v>
      </x:c>
      <x:c r="E450" s="157" t="str">
        <x:v>secured</x:v>
      </x:c>
      <x:c r="F450" s="157" t="str">
        <x:v>CCC</x:v>
      </x:c>
      <x:c r="G450" s="157" t="n">
        <x:v>670</x:v>
      </x:c>
      <x:c r="H450" s="166" t="n">
        <x:v>8435339.7</x:v>
      </x:c>
      <x:c r="I450" s="162" t="n">
        <x:v>0.2485</x:v>
      </x:c>
      <x:c r="J450" s="162" t="n">
        <x:v>0.385547</x:v>
      </x:c>
      <x:c r="K450" s="157" t="str">
        <x:v>Very High</x:v>
      </x:c>
      <x:c r="L450" s="157" t="n">
        <x:v>1</x:v>
      </x:c>
      <x:c r="M450" s="157" t="str">
        <x:v>Manual Review</x:v>
      </x:c>
      <x:c r="N450" s="166" t="n">
        <x:v>808176.65</x:v>
      </x:c>
      <x:c r="O450" s="157" t="n">
        <x:v>0</x:v>
      </x:c>
      <x:c r="P450" s="157" t="str">
        <x:v>test</x:v>
      </x:c>
    </x:row>
    <x:row r="451">
      <x:c r="A451" s="157" t="str">
        <x:v>L007932</x:v>
      </x:c>
      <x:c r="B451" s="165" t="n">
        <x:v>44652</x:v>
      </x:c>
      <x:c r="C451" s="157" t="str">
        <x:v>Technology</x:v>
      </x:c>
      <x:c r="D451" s="157" t="str">
        <x:v>term_loan</x:v>
      </x:c>
      <x:c r="E451" s="157" t="str">
        <x:v>partially_secured</x:v>
      </x:c>
      <x:c r="F451" s="157" t="str">
        <x:v>B</x:v>
      </x:c>
      <x:c r="G451" s="157" t="n">
        <x:v>634</x:v>
      </x:c>
      <x:c r="H451" s="166" t="n">
        <x:v>4171845.75</x:v>
      </x:c>
      <x:c r="I451" s="162" t="n">
        <x:v>0.728</x:v>
      </x:c>
      <x:c r="J451" s="162" t="n">
        <x:v>0.265378</x:v>
      </x:c>
      <x:c r="K451" s="157" t="str">
        <x:v>High</x:v>
      </x:c>
      <x:c r="L451" s="157" t="n">
        <x:v>2</x:v>
      </x:c>
      <x:c r="M451" s="157" t="str">
        <x:v>Manual Review</x:v>
      </x:c>
      <x:c r="N451" s="166" t="n">
        <x:v>805980.51</x:v>
      </x:c>
      <x:c r="O451" s="157" t="n">
        <x:v>0</x:v>
      </x:c>
      <x:c r="P451" s="157" t="str">
        <x:v>test</x:v>
      </x:c>
    </x:row>
    <x:row r="452">
      <x:c r="A452" s="157" t="str">
        <x:v>L025152</x:v>
      </x:c>
      <x:c r="B452" s="165" t="n">
        <x:v>44774</x:v>
      </x:c>
      <x:c r="C452" s="157" t="str">
        <x:v>Energy</x:v>
      </x:c>
      <x:c r="D452" s="157" t="str">
        <x:v>term_loan</x:v>
      </x:c>
      <x:c r="E452" s="157" t="str">
        <x:v>secured</x:v>
      </x:c>
      <x:c r="F452" s="157" t="str">
        <x:v>CCC</x:v>
      </x:c>
      <x:c r="G452" s="157" t="n">
        <x:v>654</x:v>
      </x:c>
      <x:c r="H452" s="166" t="n">
        <x:v>5695272.66</x:v>
      </x:c>
      <x:c r="I452" s="162" t="n">
        <x:v>0.4397</x:v>
      </x:c>
      <x:c r="J452" s="162" t="n">
        <x:v>0.321809</x:v>
      </x:c>
      <x:c r="K452" s="157" t="str">
        <x:v>Very High</x:v>
      </x:c>
      <x:c r="L452" s="157" t="n">
        <x:v>1</x:v>
      </x:c>
      <x:c r="M452" s="157" t="str">
        <x:v>Manual Review</x:v>
      </x:c>
      <x:c r="N452" s="166" t="n">
        <x:v>805877.76</x:v>
      </x:c>
      <x:c r="O452" s="157" t="n">
        <x:v>0</x:v>
      </x:c>
      <x:c r="P452" s="157" t="str">
        <x:v>test</x:v>
      </x:c>
    </x:row>
    <x:row r="453">
      <x:c r="A453" s="157" t="str">
        <x:v>L042201</x:v>
      </x:c>
      <x:c r="B453" s="165" t="n">
        <x:v>45047</x:v>
      </x:c>
      <x:c r="C453" s="157" t="str">
        <x:v>Industrials</x:v>
      </x:c>
      <x:c r="D453" s="157" t="str">
        <x:v>term_loan</x:v>
      </x:c>
      <x:c r="E453" s="157" t="str">
        <x:v>unsecured</x:v>
      </x:c>
      <x:c r="F453" s="157" t="str">
        <x:v>B</x:v>
      </x:c>
      <x:c r="G453" s="157" t="n">
        <x:v>643</x:v>
      </x:c>
      <x:c r="H453" s="166" t="n">
        <x:v>5827288.01</x:v>
      </x:c>
      <x:c r="I453" s="162" t="n">
        <x:v>0.6044</x:v>
      </x:c>
      <x:c r="J453" s="162" t="n">
        <x:v>0.22778</x:v>
      </x:c>
      <x:c r="K453" s="157" t="str">
        <x:v>High</x:v>
      </x:c>
      <x:c r="L453" s="157" t="n">
        <x:v>2</x:v>
      </x:c>
      <x:c r="M453" s="157" t="str">
        <x:v>Manual Review</x:v>
      </x:c>
      <x:c r="N453" s="166" t="n">
        <x:v>802244.09</x:v>
      </x:c>
      <x:c r="O453" s="157" t="n">
        <x:v>0</x:v>
      </x:c>
      <x:c r="P453" s="157" t="str">
        <x:v>test</x:v>
      </x:c>
    </x:row>
    <x:row r="454">
      <x:c r="A454" s="157" t="str">
        <x:v>L014989</x:v>
      </x:c>
      <x:c r="B454" s="165" t="n">
        <x:v>44774</x:v>
      </x:c>
      <x:c r="C454" s="157" t="str">
        <x:v>Energy</x:v>
      </x:c>
      <x:c r="D454" s="157" t="str">
        <x:v>revolving</x:v>
      </x:c>
      <x:c r="E454" s="157" t="str">
        <x:v>secured</x:v>
      </x:c>
      <x:c r="F454" s="157" t="str">
        <x:v>CCC</x:v>
      </x:c>
      <x:c r="G454" s="157" t="n">
        <x:v>646</x:v>
      </x:c>
      <x:c r="H454" s="166" t="n">
        <x:v>4234787.37</x:v>
      </x:c>
      <x:c r="I454" s="162" t="n">
        <x:v>0.4442</x:v>
      </x:c>
      <x:c r="J454" s="162" t="n">
        <x:v>0.425503</x:v>
      </x:c>
      <x:c r="K454" s="157" t="str">
        <x:v>Very High</x:v>
      </x:c>
      <x:c r="L454" s="157" t="n">
        <x:v>1</x:v>
      </x:c>
      <x:c r="M454" s="157" t="str">
        <x:v>Manual Review</x:v>
      </x:c>
      <x:c r="N454" s="166" t="n">
        <x:v>800410.52</x:v>
      </x:c>
      <x:c r="O454" s="157" t="n">
        <x:v>1</x:v>
      </x:c>
      <x:c r="P454" s="157" t="str">
        <x:v>test</x:v>
      </x:c>
    </x:row>
    <x:row r="455">
      <x:c r="A455" s="157" t="str">
        <x:v>L004441</x:v>
      </x:c>
      <x:c r="B455" s="165" t="n">
        <x:v>44682</x:v>
      </x:c>
      <x:c r="C455" s="157" t="str">
        <x:v>Industrials</x:v>
      </x:c>
      <x:c r="D455" s="157" t="str">
        <x:v>revolving</x:v>
      </x:c>
      <x:c r="E455" s="157" t="str">
        <x:v>partially_secured</x:v>
      </x:c>
      <x:c r="F455" s="157" t="str">
        <x:v>CCC</x:v>
      </x:c>
      <x:c r="G455" s="157" t="n">
        <x:v>653</x:v>
      </x:c>
      <x:c r="H455" s="166" t="n">
        <x:v>6408331.58</x:v>
      </x:c>
      <x:c r="I455" s="162" t="n">
        <x:v>0.4201</x:v>
      </x:c>
      <x:c r="J455" s="162" t="n">
        <x:v>0.296829</x:v>
      </x:c>
      <x:c r="K455" s="157" t="str">
        <x:v>High</x:v>
      </x:c>
      <x:c r="L455" s="157" t="n">
        <x:v>1</x:v>
      </x:c>
      <x:c r="M455" s="157" t="str">
        <x:v>Manual Review</x:v>
      </x:c>
      <x:c r="N455" s="166" t="n">
        <x:v>799105.25</x:v>
      </x:c>
      <x:c r="O455" s="157" t="n">
        <x:v>0</x:v>
      </x:c>
      <x:c r="P455" s="157" t="str">
        <x:v>test</x:v>
      </x:c>
    </x:row>
    <x:row r="456">
      <x:c r="A456" s="157" t="str">
        <x:v>L007476</x:v>
      </x:c>
      <x:c r="B456" s="165" t="n">
        <x:v>44713</x:v>
      </x:c>
      <x:c r="C456" s="157" t="str">
        <x:v>Utilities</x:v>
      </x:c>
      <x:c r="D456" s="157" t="str">
        <x:v>term_loan</x:v>
      </x:c>
      <x:c r="E456" s="157" t="str">
        <x:v>unsecured</x:v>
      </x:c>
      <x:c r="F456" s="157" t="str">
        <x:v>CCC</x:v>
      </x:c>
      <x:c r="G456" s="157" t="n">
        <x:v>661</x:v>
      </x:c>
      <x:c r="H456" s="166" t="n">
        <x:v>3471178.98</x:v>
      </x:c>
      <x:c r="I456" s="162" t="n">
        <x:v>0.6025</x:v>
      </x:c>
      <x:c r="J456" s="162" t="n">
        <x:v>0.381665</x:v>
      </x:c>
      <x:c r="K456" s="157" t="str">
        <x:v>Very High</x:v>
      </x:c>
      <x:c r="L456" s="157" t="n">
        <x:v>1</x:v>
      </x:c>
      <x:c r="M456" s="157" t="str">
        <x:v>Manual Review</x:v>
      </x:c>
      <x:c r="N456" s="166" t="n">
        <x:v>798208.58</x:v>
      </x:c>
      <x:c r="O456" s="157" t="n">
        <x:v>0</x:v>
      </x:c>
      <x:c r="P456" s="157" t="str">
        <x:v>test</x:v>
      </x:c>
    </x:row>
    <x:row r="457">
      <x:c r="A457" s="157" t="str">
        <x:v>L039256</x:v>
      </x:c>
      <x:c r="B457" s="165" t="n">
        <x:v>45261</x:v>
      </x:c>
      <x:c r="C457" s="157" t="str">
        <x:v>Utilities</x:v>
      </x:c>
      <x:c r="D457" s="157" t="str">
        <x:v>revolving</x:v>
      </x:c>
      <x:c r="E457" s="157" t="str">
        <x:v>secured</x:v>
      </x:c>
      <x:c r="F457" s="157" t="str">
        <x:v>A</x:v>
      </x:c>
      <x:c r="G457" s="157" t="n">
        <x:v>675</x:v>
      </x:c>
      <x:c r="H457" s="166" t="n">
        <x:v>10704273.21</x:v>
      </x:c>
      <x:c r="I457" s="162" t="n">
        <x:v>0.4081</x:v>
      </x:c>
      <x:c r="J457" s="162" t="n">
        <x:v>0.182593</x:v>
      </x:c>
      <x:c r="K457" s="157" t="str">
        <x:v>High</x:v>
      </x:c>
      <x:c r="L457" s="157" t="n">
        <x:v>3</x:v>
      </x:c>
      <x:c r="M457" s="157" t="str">
        <x:v>Manual Review</x:v>
      </x:c>
      <x:c r="N457" s="166" t="n">
        <x:v>797641.8</x:v>
      </x:c>
      <x:c r="O457" s="157" t="n">
        <x:v>0</x:v>
      </x:c>
      <x:c r="P457" s="157" t="str">
        <x:v>test</x:v>
      </x:c>
    </x:row>
    <x:row r="458">
      <x:c r="A458" s="157" t="str">
        <x:v>L004006</x:v>
      </x:c>
      <x:c r="B458" s="165" t="n">
        <x:v>44866</x:v>
      </x:c>
      <x:c r="C458" s="157" t="str">
        <x:v>Financials</x:v>
      </x:c>
      <x:c r="D458" s="157" t="str">
        <x:v>bond</x:v>
      </x:c>
      <x:c r="E458" s="157" t="str">
        <x:v>unsecured</x:v>
      </x:c>
      <x:c r="F458" s="157" t="str">
        <x:v>B</x:v>
      </x:c>
      <x:c r="G458" s="157" t="n">
        <x:v>645</x:v>
      </x:c>
      <x:c r="H458" s="166" t="n">
        <x:v>5752751.38</x:v>
      </x:c>
      <x:c r="I458" s="162" t="n">
        <x:v>0.6132</x:v>
      </x:c>
      <x:c r="J458" s="162" t="n">
        <x:v>0.22555</x:v>
      </x:c>
      <x:c r="K458" s="157" t="str">
        <x:v>High</x:v>
      </x:c>
      <x:c r="L458" s="157" t="n">
        <x:v>2</x:v>
      </x:c>
      <x:c r="M458" s="157" t="str">
        <x:v>Manual Review</x:v>
      </x:c>
      <x:c r="N458" s="166" t="n">
        <x:v>795647.28</x:v>
      </x:c>
      <x:c r="O458" s="157" t="n">
        <x:v>1</x:v>
      </x:c>
      <x:c r="P458" s="157" t="str">
        <x:v>test</x:v>
      </x:c>
    </x:row>
    <x:row r="459">
      <x:c r="A459" s="157" t="str">
        <x:v>L028996</x:v>
      </x:c>
      <x:c r="B459" s="165" t="n">
        <x:v>45078</x:v>
      </x:c>
      <x:c r="C459" s="157" t="str">
        <x:v>Energy</x:v>
      </x:c>
      <x:c r="D459" s="157" t="str">
        <x:v>bond</x:v>
      </x:c>
      <x:c r="E459" s="157" t="str">
        <x:v>unsecured</x:v>
      </x:c>
      <x:c r="F459" s="157" t="str">
        <x:v>BBB</x:v>
      </x:c>
      <x:c r="G459" s="157" t="n">
        <x:v>725</x:v>
      </x:c>
      <x:c r="H459" s="166" t="n">
        <x:v>6948444.89</x:v>
      </x:c>
      <x:c r="I459" s="162" t="n">
        <x:v>0.6546</x:v>
      </x:c>
      <x:c r="J459" s="162" t="n">
        <x:v>0.17403</x:v>
      </x:c>
      <x:c r="K459" s="157" t="str">
        <x:v>High</x:v>
      </x:c>
      <x:c r="L459" s="157" t="n">
        <x:v>4</x:v>
      </x:c>
      <x:c r="M459" s="157" t="str">
        <x:v>Manual Review</x:v>
      </x:c>
      <x:c r="N459" s="166" t="n">
        <x:v>791567.11</x:v>
      </x:c>
      <x:c r="O459" s="157" t="n">
        <x:v>0</x:v>
      </x:c>
      <x:c r="P459" s="157" t="str">
        <x:v>test</x:v>
      </x:c>
    </x:row>
    <x:row r="460">
      <x:c r="A460" s="157" t="str">
        <x:v>L038008</x:v>
      </x:c>
      <x:c r="B460" s="165" t="n">
        <x:v>45108</x:v>
      </x:c>
      <x:c r="C460" s="157" t="str">
        <x:v>Energy</x:v>
      </x:c>
      <x:c r="D460" s="157" t="str">
        <x:v>mortgage</x:v>
      </x:c>
      <x:c r="E460" s="157" t="str">
        <x:v>unsecured</x:v>
      </x:c>
      <x:c r="F460" s="157" t="str">
        <x:v>CCC</x:v>
      </x:c>
      <x:c r="G460" s="157" t="n">
        <x:v>690</x:v>
      </x:c>
      <x:c r="H460" s="166" t="n">
        <x:v>3315972.53</x:v>
      </x:c>
      <x:c r="I460" s="162" t="n">
        <x:v>0.6861</x:v>
      </x:c>
      <x:c r="J460" s="162" t="n">
        <x:v>0.346869</x:v>
      </x:c>
      <x:c r="K460" s="157" t="str">
        <x:v>Very High</x:v>
      </x:c>
      <x:c r="L460" s="157" t="n">
        <x:v>1</x:v>
      </x:c>
      <x:c r="M460" s="157" t="str">
        <x:v>Manual Review</x:v>
      </x:c>
      <x:c r="N460" s="166" t="n">
        <x:v>789157.76</x:v>
      </x:c>
      <x:c r="O460" s="157" t="n">
        <x:v>0</x:v>
      </x:c>
      <x:c r="P460" s="157" t="str">
        <x:v>test</x:v>
      </x:c>
    </x:row>
    <x:row r="461">
      <x:c r="A461" s="157" t="str">
        <x:v>L035320</x:v>
      </x:c>
      <x:c r="B461" s="165" t="n">
        <x:v>44986</x:v>
      </x:c>
      <x:c r="C461" s="157" t="str">
        <x:v>Financials</x:v>
      </x:c>
      <x:c r="D461" s="157" t="str">
        <x:v>bond</x:v>
      </x:c>
      <x:c r="E461" s="157" t="str">
        <x:v>secured</x:v>
      </x:c>
      <x:c r="F461" s="157" t="str">
        <x:v>B</x:v>
      </x:c>
      <x:c r="G461" s="157" t="n">
        <x:v>730</x:v>
      </x:c>
      <x:c r="H461" s="166" t="n">
        <x:v>6624420.42</x:v>
      </x:c>
      <x:c r="I461" s="162" t="n">
        <x:v>0.5333</x:v>
      </x:c>
      <x:c r="J461" s="162" t="n">
        <x:v>0.22322</x:v>
      </x:c>
      <x:c r="K461" s="157" t="str">
        <x:v>High</x:v>
      </x:c>
      <x:c r="L461" s="157" t="n">
        <x:v>2</x:v>
      </x:c>
      <x:c r="M461" s="157" t="str">
        <x:v>Manual Review</x:v>
      </x:c>
      <x:c r="N461" s="166" t="n">
        <x:v>788592.38</x:v>
      </x:c>
      <x:c r="O461" s="157" t="n">
        <x:v>0</x:v>
      </x:c>
      <x:c r="P461" s="157" t="str">
        <x:v>test</x:v>
      </x:c>
    </x:row>
    <x:row r="462">
      <x:c r="A462" s="157" t="str">
        <x:v>L043044</x:v>
      </x:c>
      <x:c r="B462" s="165" t="n">
        <x:v>44562</x:v>
      </x:c>
      <x:c r="C462" s="157" t="str">
        <x:v>Technology</x:v>
      </x:c>
      <x:c r="D462" s="157" t="str">
        <x:v>bond</x:v>
      </x:c>
      <x:c r="E462" s="157" t="str">
        <x:v>secured</x:v>
      </x:c>
      <x:c r="F462" s="157" t="str">
        <x:v>B</x:v>
      </x:c>
      <x:c r="G462" s="157" t="n">
        <x:v>648</x:v>
      </x:c>
      <x:c r="H462" s="166" t="n">
        <x:v>7778915.08</x:v>
      </x:c>
      <x:c r="I462" s="162" t="n">
        <x:v>0.4617</x:v>
      </x:c>
      <x:c r="J462" s="162" t="n">
        <x:v>0.219516</x:v>
      </x:c>
      <x:c r="K462" s="157" t="str">
        <x:v>High</x:v>
      </x:c>
      <x:c r="L462" s="157" t="n">
        <x:v>2</x:v>
      </x:c>
      <x:c r="M462" s="157" t="str">
        <x:v>Manual Review</x:v>
      </x:c>
      <x:c r="N462" s="166" t="n">
        <x:v>788397.22</x:v>
      </x:c>
      <x:c r="O462" s="157" t="n">
        <x:v>0</x:v>
      </x:c>
      <x:c r="P462" s="157" t="str">
        <x:v>test</x:v>
      </x:c>
    </x:row>
    <x:row r="463">
      <x:c r="A463" s="157" t="str">
        <x:v>L024885</x:v>
      </x:c>
      <x:c r="B463" s="165" t="n">
        <x:v>44927</x:v>
      </x:c>
      <x:c r="C463" s="157" t="str">
        <x:v>Telecom</x:v>
      </x:c>
      <x:c r="D463" s="157" t="str">
        <x:v>term_loan</x:v>
      </x:c>
      <x:c r="E463" s="157" t="str">
        <x:v>secured</x:v>
      </x:c>
      <x:c r="F463" s="157" t="str">
        <x:v>B</x:v>
      </x:c>
      <x:c r="G463" s="157" t="n">
        <x:v>668</x:v>
      </x:c>
      <x:c r="H463" s="166" t="n">
        <x:v>6024604.24</x:v>
      </x:c>
      <x:c r="I463" s="162" t="n">
        <x:v>0.4844</x:v>
      </x:c>
      <x:c r="J463" s="162" t="n">
        <x:v>0.270142</x:v>
      </x:c>
      <x:c r="K463" s="157" t="str">
        <x:v>High</x:v>
      </x:c>
      <x:c r="L463" s="157" t="n">
        <x:v>1</x:v>
      </x:c>
      <x:c r="M463" s="157" t="str">
        <x:v>Manual Review</x:v>
      </x:c>
      <x:c r="N463" s="166" t="n">
        <x:v>788360.34</x:v>
      </x:c>
      <x:c r="O463" s="157" t="n">
        <x:v>1</x:v>
      </x:c>
      <x:c r="P463" s="157" t="str">
        <x:v>test</x:v>
      </x:c>
    </x:row>
    <x:row r="464">
      <x:c r="A464" s="157" t="str">
        <x:v>L026794</x:v>
      </x:c>
      <x:c r="B464" s="165" t="n">
        <x:v>45108</x:v>
      </x:c>
      <x:c r="C464" s="157" t="str">
        <x:v>Energy</x:v>
      </x:c>
      <x:c r="D464" s="157" t="str">
        <x:v>revolving</x:v>
      </x:c>
      <x:c r="E464" s="157" t="str">
        <x:v>unsecured</x:v>
      </x:c>
      <x:c r="F464" s="157" t="str">
        <x:v>CCC</x:v>
      </x:c>
      <x:c r="G464" s="157" t="n">
        <x:v>637</x:v>
      </x:c>
      <x:c r="H464" s="166" t="n">
        <x:v>3519985.43</x:v>
      </x:c>
      <x:c r="I464" s="162" t="n">
        <x:v>0.5082</x:v>
      </x:c>
      <x:c r="J464" s="162" t="n">
        <x:v>0.440472</x:v>
      </x:c>
      <x:c r="K464" s="157" t="str">
        <x:v>Very High</x:v>
      </x:c>
      <x:c r="L464" s="157" t="n">
        <x:v>1</x:v>
      </x:c>
      <x:c r="M464" s="157" t="str">
        <x:v>Manual Review</x:v>
      </x:c>
      <x:c r="N464" s="166" t="n">
        <x:v>787941.24</x:v>
      </x:c>
      <x:c r="O464" s="157" t="n">
        <x:v>0</x:v>
      </x:c>
      <x:c r="P464" s="157" t="str">
        <x:v>test</x:v>
      </x:c>
    </x:row>
    <x:row r="465">
      <x:c r="A465" s="157" t="str">
        <x:v>L011248</x:v>
      </x:c>
      <x:c r="B465" s="165" t="n">
        <x:v>44682</x:v>
      </x:c>
      <x:c r="C465" s="157" t="str">
        <x:v>Consumer</x:v>
      </x:c>
      <x:c r="D465" s="157" t="str">
        <x:v>term_loan</x:v>
      </x:c>
      <x:c r="E465" s="157" t="str">
        <x:v>secured</x:v>
      </x:c>
      <x:c r="F465" s="157" t="str">
        <x:v>B</x:v>
      </x:c>
      <x:c r="G465" s="157" t="n">
        <x:v>669</x:v>
      </x:c>
      <x:c r="H465" s="166" t="n">
        <x:v>5396719.55</x:v>
      </x:c>
      <x:c r="I465" s="162" t="n">
        <x:v>0.7328</x:v>
      </x:c>
      <x:c r="J465" s="162" t="n">
        <x:v>0.19891</x:v>
      </x:c>
      <x:c r="K465" s="157" t="str">
        <x:v>High</x:v>
      </x:c>
      <x:c r="L465" s="157" t="n">
        <x:v>3</x:v>
      </x:c>
      <x:c r="M465" s="157" t="str">
        <x:v>Manual Review</x:v>
      </x:c>
      <x:c r="N465" s="166" t="n">
        <x:v>786632.58</x:v>
      </x:c>
      <x:c r="O465" s="157" t="n">
        <x:v>0</x:v>
      </x:c>
      <x:c r="P465" s="157" t="str">
        <x:v>test</x:v>
      </x:c>
    </x:row>
    <x:row r="466">
      <x:c r="A466" s="157" t="str">
        <x:v>L013676</x:v>
      </x:c>
      <x:c r="B466" s="165" t="n">
        <x:v>44593</x:v>
      </x:c>
      <x:c r="C466" s="157" t="str">
        <x:v>Energy</x:v>
      </x:c>
      <x:c r="D466" s="157" t="str">
        <x:v>mortgage</x:v>
      </x:c>
      <x:c r="E466" s="157" t="str">
        <x:v>partially_secured</x:v>
      </x:c>
      <x:c r="F466" s="157" t="str">
        <x:v>CCC</x:v>
      </x:c>
      <x:c r="G466" s="157" t="n">
        <x:v>611</x:v>
      </x:c>
      <x:c r="H466" s="166" t="n">
        <x:v>2825037.85</x:v>
      </x:c>
      <x:c r="I466" s="162" t="n">
        <x:v>0.7324</x:v>
      </x:c>
      <x:c r="J466" s="162" t="n">
        <x:v>0.380113</x:v>
      </x:c>
      <x:c r="K466" s="157" t="str">
        <x:v>Very High</x:v>
      </x:c>
      <x:c r="L466" s="157" t="n">
        <x:v>1</x:v>
      </x:c>
      <x:c r="M466" s="157" t="str">
        <x:v>Manual Review</x:v>
      </x:c>
      <x:c r="N466" s="166" t="n">
        <x:v>786475.74</x:v>
      </x:c>
      <x:c r="O466" s="157" t="n">
        <x:v>1</x:v>
      </x:c>
      <x:c r="P466" s="157" t="str">
        <x:v>test</x:v>
      </x:c>
    </x:row>
    <x:row r="467">
      <x:c r="A467" s="157" t="str">
        <x:v>L048093</x:v>
      </x:c>
      <x:c r="B467" s="165" t="n">
        <x:v>44896</x:v>
      </x:c>
      <x:c r="C467" s="157" t="str">
        <x:v>Industrials</x:v>
      </x:c>
      <x:c r="D467" s="157" t="str">
        <x:v>bond</x:v>
      </x:c>
      <x:c r="E467" s="157" t="str">
        <x:v>unsecured</x:v>
      </x:c>
      <x:c r="F467" s="157" t="str">
        <x:v>BB</x:v>
      </x:c>
      <x:c r="G467" s="157" t="n">
        <x:v>699</x:v>
      </x:c>
      <x:c r="H467" s="166" t="n">
        <x:v>6270978.96</x:v>
      </x:c>
      <x:c r="I467" s="162" t="n">
        <x:v>0.6813</x:v>
      </x:c>
      <x:c r="J467" s="162" t="n">
        <x:v>0.184052</x:v>
      </x:c>
      <x:c r="K467" s="157" t="str">
        <x:v>High</x:v>
      </x:c>
      <x:c r="L467" s="157" t="n">
        <x:v>3</x:v>
      </x:c>
      <x:c r="M467" s="157" t="str">
        <x:v>Manual Review</x:v>
      </x:c>
      <x:c r="N467" s="166" t="n">
        <x:v>786347.07</x:v>
      </x:c>
      <x:c r="O467" s="157" t="n">
        <x:v>0</x:v>
      </x:c>
      <x:c r="P467" s="157" t="str">
        <x:v>test</x:v>
      </x:c>
    </x:row>
    <x:row r="468">
      <x:c r="A468" s="157" t="str">
        <x:v>L043000</x:v>
      </x:c>
      <x:c r="B468" s="165" t="n">
        <x:v>44593</x:v>
      </x:c>
      <x:c r="C468" s="157" t="str">
        <x:v>Technology</x:v>
      </x:c>
      <x:c r="D468" s="157" t="str">
        <x:v>term_loan</x:v>
      </x:c>
      <x:c r="E468" s="157" t="str">
        <x:v>partially_secured</x:v>
      </x:c>
      <x:c r="F468" s="157" t="str">
        <x:v>CCC</x:v>
      </x:c>
      <x:c r="G468" s="157" t="n">
        <x:v>612</x:v>
      </x:c>
      <x:c r="H468" s="166" t="n">
        <x:v>2527900.84</x:v>
      </x:c>
      <x:c r="I468" s="162" t="n">
        <x:v>0.8681</x:v>
      </x:c>
      <x:c r="J468" s="162" t="n">
        <x:v>0.358019</x:v>
      </x:c>
      <x:c r="K468" s="157" t="str">
        <x:v>Very High</x:v>
      </x:c>
      <x:c r="L468" s="157" t="n">
        <x:v>1</x:v>
      </x:c>
      <x:c r="M468" s="157" t="str">
        <x:v>Manual Review</x:v>
      </x:c>
      <x:c r="N468" s="166" t="n">
        <x:v>785662.21</x:v>
      </x:c>
      <x:c r="O468" s="157" t="n">
        <x:v>1</x:v>
      </x:c>
      <x:c r="P468" s="157" t="str">
        <x:v>test</x:v>
      </x:c>
    </x:row>
    <x:row r="469">
      <x:c r="A469" s="157" t="str">
        <x:v>L048661</x:v>
      </x:c>
      <x:c r="B469" s="165" t="n">
        <x:v>44743</x:v>
      </x:c>
      <x:c r="C469" s="157" t="str">
        <x:v>Healthcare</x:v>
      </x:c>
      <x:c r="D469" s="157" t="str">
        <x:v>mortgage</x:v>
      </x:c>
      <x:c r="E469" s="157" t="str">
        <x:v>unsecured</x:v>
      </x:c>
      <x:c r="F469" s="157" t="str">
        <x:v>CCC</x:v>
      </x:c>
      <x:c r="G469" s="157" t="n">
        <x:v>701</x:v>
      </x:c>
      <x:c r="H469" s="166" t="n">
        <x:v>3012408.61</x:v>
      </x:c>
      <x:c r="I469" s="162" t="n">
        <x:v>0.6079</x:v>
      </x:c>
      <x:c r="J469" s="162" t="n">
        <x:v>0.428183</x:v>
      </x:c>
      <x:c r="K469" s="157" t="str">
        <x:v>Very High</x:v>
      </x:c>
      <x:c r="L469" s="157" t="n">
        <x:v>1</x:v>
      </x:c>
      <x:c r="M469" s="157" t="str">
        <x:v>Manual Review</x:v>
      </x:c>
      <x:c r="N469" s="166" t="n">
        <x:v>784107.2</x:v>
      </x:c>
      <x:c r="O469" s="157" t="n">
        <x:v>0</x:v>
      </x:c>
      <x:c r="P469" s="157" t="str">
        <x:v>test</x:v>
      </x:c>
    </x:row>
    <x:row r="470">
      <x:c r="A470" s="157" t="str">
        <x:v>L021900</x:v>
      </x:c>
      <x:c r="B470" s="165" t="n">
        <x:v>44805</x:v>
      </x:c>
      <x:c r="C470" s="157" t="str">
        <x:v>Healthcare</x:v>
      </x:c>
      <x:c r="D470" s="157" t="str">
        <x:v>term_loan</x:v>
      </x:c>
      <x:c r="E470" s="157" t="str">
        <x:v>unsecured</x:v>
      </x:c>
      <x:c r="F470" s="157" t="str">
        <x:v>CCC</x:v>
      </x:c>
      <x:c r="G470" s="157" t="n">
        <x:v>656</x:v>
      </x:c>
      <x:c r="H470" s="166" t="n">
        <x:v>3372075.26</x:v>
      </x:c>
      <x:c r="I470" s="162" t="n">
        <x:v>0.5892</x:v>
      </x:c>
      <x:c r="J470" s="162" t="n">
        <x:v>0.394083</x:v>
      </x:c>
      <x:c r="K470" s="157" t="str">
        <x:v>Very High</x:v>
      </x:c>
      <x:c r="L470" s="157" t="n">
        <x:v>1</x:v>
      </x:c>
      <x:c r="M470" s="157" t="str">
        <x:v>Manual Review</x:v>
      </x:c>
      <x:c r="N470" s="166" t="n">
        <x:v>782974.64</x:v>
      </x:c>
      <x:c r="O470" s="157" t="n">
        <x:v>1</x:v>
      </x:c>
      <x:c r="P470" s="157" t="str">
        <x:v>test</x:v>
      </x:c>
    </x:row>
    <x:row r="471">
      <x:c r="A471" s="157" t="str">
        <x:v>L010563</x:v>
      </x:c>
      <x:c r="B471" s="165" t="n">
        <x:v>45139</x:v>
      </x:c>
      <x:c r="C471" s="157" t="str">
        <x:v>Financials</x:v>
      </x:c>
      <x:c r="D471" s="157" t="str">
        <x:v>term_loan</x:v>
      </x:c>
      <x:c r="E471" s="157" t="str">
        <x:v>secured</x:v>
      </x:c>
      <x:c r="F471" s="157" t="str">
        <x:v>BB</x:v>
      </x:c>
      <x:c r="G471" s="157" t="n">
        <x:v>759</x:v>
      </x:c>
      <x:c r="H471" s="166" t="n">
        <x:v>8062734.74</x:v>
      </x:c>
      <x:c r="I471" s="162" t="n">
        <x:v>0.5402</x:v>
      </x:c>
      <x:c r="J471" s="162" t="n">
        <x:v>0.179515</x:v>
      </x:c>
      <x:c r="K471" s="157" t="str">
        <x:v>High</x:v>
      </x:c>
      <x:c r="L471" s="157" t="n">
        <x:v>3</x:v>
      </x:c>
      <x:c r="M471" s="157" t="str">
        <x:v>Manual Review</x:v>
      </x:c>
      <x:c r="N471" s="166" t="n">
        <x:v>781875.66</x:v>
      </x:c>
      <x:c r="O471" s="157" t="n">
        <x:v>0</x:v>
      </x:c>
      <x:c r="P471" s="157" t="str">
        <x:v>test</x:v>
      </x:c>
    </x:row>
    <x:row r="472">
      <x:c r="A472" s="157" t="str">
        <x:v>L031619</x:v>
      </x:c>
      <x:c r="B472" s="165" t="n">
        <x:v>44866</x:v>
      </x:c>
      <x:c r="C472" s="157" t="str">
        <x:v>Technology</x:v>
      </x:c>
      <x:c r="D472" s="157" t="str">
        <x:v>mortgage</x:v>
      </x:c>
      <x:c r="E472" s="157" t="str">
        <x:v>secured</x:v>
      </x:c>
      <x:c r="F472" s="157" t="str">
        <x:v>CCC</x:v>
      </x:c>
      <x:c r="G472" s="157" t="n">
        <x:v>664</x:v>
      </x:c>
      <x:c r="H472" s="166" t="n">
        <x:v>1958492.5</x:v>
      </x:c>
      <x:c r="I472" s="162" t="n">
        <x:v>0.8739</x:v>
      </x:c>
      <x:c r="J472" s="162" t="n">
        <x:v>0.45597</x:v>
      </x:c>
      <x:c r="K472" s="157" t="str">
        <x:v>Very High</x:v>
      </x:c>
      <x:c r="L472" s="157" t="n">
        <x:v>1</x:v>
      </x:c>
      <x:c r="M472" s="157" t="str">
        <x:v>Manual Review</x:v>
      </x:c>
      <x:c r="N472" s="166" t="n">
        <x:v>780404.78</x:v>
      </x:c>
      <x:c r="O472" s="157" t="n">
        <x:v>1</x:v>
      </x:c>
      <x:c r="P472" s="157" t="str">
        <x:v>test</x:v>
      </x:c>
    </x:row>
    <x:row r="473">
      <x:c r="A473" s="157" t="str">
        <x:v>L042638</x:v>
      </x:c>
      <x:c r="B473" s="165" t="n">
        <x:v>44682</x:v>
      </x:c>
      <x:c r="C473" s="157" t="str">
        <x:v>Real_Estate</x:v>
      </x:c>
      <x:c r="D473" s="157" t="str">
        <x:v>term_loan</x:v>
      </x:c>
      <x:c r="E473" s="157" t="str">
        <x:v>partially_secured</x:v>
      </x:c>
      <x:c r="F473" s="157" t="str">
        <x:v>CCC</x:v>
      </x:c>
      <x:c r="G473" s="157" t="n">
        <x:v>672</x:v>
      </x:c>
      <x:c r="H473" s="166" t="n">
        <x:v>5388085.51</x:v>
      </x:c>
      <x:c r="I473" s="162" t="n">
        <x:v>0.399</x:v>
      </x:c>
      <x:c r="J473" s="162" t="n">
        <x:v>0.362977</x:v>
      </x:c>
      <x:c r="K473" s="157" t="str">
        <x:v>Very High</x:v>
      </x:c>
      <x:c r="L473" s="157" t="n">
        <x:v>1</x:v>
      </x:c>
      <x:c r="M473" s="157" t="str">
        <x:v>Manual Review</x:v>
      </x:c>
      <x:c r="N473" s="166" t="n">
        <x:v>780344.69</x:v>
      </x:c>
      <x:c r="O473" s="157" t="n">
        <x:v>0</x:v>
      </x:c>
      <x:c r="P473" s="157" t="str">
        <x:v>test</x:v>
      </x:c>
    </x:row>
    <x:row r="474">
      <x:c r="A474" s="157" t="str">
        <x:v>L035809</x:v>
      </x:c>
      <x:c r="B474" s="165" t="n">
        <x:v>44593</x:v>
      </x:c>
      <x:c r="C474" s="157" t="str">
        <x:v>Industrials</x:v>
      </x:c>
      <x:c r="D474" s="157" t="str">
        <x:v>revolving</x:v>
      </x:c>
      <x:c r="E474" s="157" t="str">
        <x:v>partially_secured</x:v>
      </x:c>
      <x:c r="F474" s="157" t="str">
        <x:v>B</x:v>
      </x:c>
      <x:c r="G474" s="157" t="n">
        <x:v>624</x:v>
      </x:c>
      <x:c r="H474" s="166" t="n">
        <x:v>7004573.87</x:v>
      </x:c>
      <x:c r="I474" s="162" t="n">
        <x:v>0.5718</x:v>
      </x:c>
      <x:c r="J474" s="162" t="n">
        <x:v>0.194012</x:v>
      </x:c>
      <x:c r="K474" s="157" t="str">
        <x:v>High</x:v>
      </x:c>
      <x:c r="L474" s="157" t="n">
        <x:v>3</x:v>
      </x:c>
      <x:c r="M474" s="157" t="str">
        <x:v>Manual Review</x:v>
      </x:c>
      <x:c r="N474" s="166" t="n">
        <x:v>777059.84</x:v>
      </x:c>
      <x:c r="O474" s="157" t="n">
        <x:v>1</x:v>
      </x:c>
      <x:c r="P474" s="157" t="str">
        <x:v>test</x:v>
      </x:c>
    </x:row>
    <x:row r="475">
      <x:c r="A475" s="157" t="str">
        <x:v>L041218</x:v>
      </x:c>
      <x:c r="B475" s="165" t="n">
        <x:v>44835</x:v>
      </x:c>
      <x:c r="C475" s="157" t="str">
        <x:v>Industrials</x:v>
      </x:c>
      <x:c r="D475" s="157" t="str">
        <x:v>mortgage</x:v>
      </x:c>
      <x:c r="E475" s="157" t="str">
        <x:v>unsecured</x:v>
      </x:c>
      <x:c r="F475" s="157" t="str">
        <x:v>CCC</x:v>
      </x:c>
      <x:c r="G475" s="157" t="n">
        <x:v>661</x:v>
      </x:c>
      <x:c r="H475" s="166" t="n">
        <x:v>3071098.3</x:v>
      </x:c>
      <x:c r="I475" s="162" t="n">
        <x:v>0.6345</x:v>
      </x:c>
      <x:c r="J475" s="162" t="n">
        <x:v>0.398736</x:v>
      </x:c>
      <x:c r="K475" s="157" t="str">
        <x:v>Very High</x:v>
      </x:c>
      <x:c r="L475" s="157" t="n">
        <x:v>1</x:v>
      </x:c>
      <x:c r="M475" s="157" t="str">
        <x:v>Manual Review</x:v>
      </x:c>
      <x:c r="N475" s="166" t="n">
        <x:v>776981.7</x:v>
      </x:c>
      <x:c r="O475" s="157" t="n">
        <x:v>1</x:v>
      </x:c>
      <x:c r="P475" s="157" t="str">
        <x:v>test</x:v>
      </x:c>
    </x:row>
    <x:row r="476">
      <x:c r="A476" s="157" t="str">
        <x:v>L002635</x:v>
      </x:c>
      <x:c r="B476" s="165" t="n">
        <x:v>45139</x:v>
      </x:c>
      <x:c r="C476" s="157" t="str">
        <x:v>Utilities</x:v>
      </x:c>
      <x:c r="D476" s="157" t="str">
        <x:v>term_loan</x:v>
      </x:c>
      <x:c r="E476" s="157" t="str">
        <x:v>secured</x:v>
      </x:c>
      <x:c r="F476" s="157" t="str">
        <x:v>BBB</x:v>
      </x:c>
      <x:c r="G476" s="157" t="n">
        <x:v>738</x:v>
      </x:c>
      <x:c r="H476" s="166" t="n">
        <x:v>15960626.11</x:v>
      </x:c>
      <x:c r="I476" s="162" t="n">
        <x:v>0.2786</x:v>
      </x:c>
      <x:c r="J476" s="162" t="n">
        <x:v>0.173223</x:v>
      </x:c>
      <x:c r="K476" s="157" t="str">
        <x:v>High</x:v>
      </x:c>
      <x:c r="L476" s="157" t="n">
        <x:v>4</x:v>
      </x:c>
      <x:c r="M476" s="157" t="str">
        <x:v>Manual Review</x:v>
      </x:c>
      <x:c r="N476" s="166" t="n">
        <x:v>770258.66</x:v>
      </x:c>
      <x:c r="O476" s="157" t="n">
        <x:v>0</x:v>
      </x:c>
      <x:c r="P476" s="157" t="str">
        <x:v>test</x:v>
      </x:c>
    </x:row>
    <x:row r="477">
      <x:c r="A477" s="157" t="str">
        <x:v>L024163</x:v>
      </x:c>
      <x:c r="B477" s="165" t="n">
        <x:v>45047</x:v>
      </x:c>
      <x:c r="C477" s="157" t="str">
        <x:v>Telecom</x:v>
      </x:c>
      <x:c r="D477" s="157" t="str">
        <x:v>bond</x:v>
      </x:c>
      <x:c r="E477" s="157" t="str">
        <x:v>unsecured</x:v>
      </x:c>
      <x:c r="F477" s="157" t="str">
        <x:v>BB</x:v>
      </x:c>
      <x:c r="G477" s="157" t="n">
        <x:v>692</x:v>
      </x:c>
      <x:c r="H477" s="166" t="n">
        <x:v>5518610.85</x:v>
      </x:c>
      <x:c r="I477" s="162" t="n">
        <x:v>0.8052</x:v>
      </x:c>
      <x:c r="J477" s="162" t="n">
        <x:v>0.173324</x:v>
      </x:c>
      <x:c r="K477" s="157" t="str">
        <x:v>High</x:v>
      </x:c>
      <x:c r="L477" s="157" t="n">
        <x:v>4</x:v>
      </x:c>
      <x:c r="M477" s="157" t="str">
        <x:v>Manual Review</x:v>
      </x:c>
      <x:c r="N477" s="166" t="n">
        <x:v>770180.01</x:v>
      </x:c>
      <x:c r="O477" s="157" t="n">
        <x:v>0</x:v>
      </x:c>
      <x:c r="P477" s="157" t="str">
        <x:v>test</x:v>
      </x:c>
    </x:row>
    <x:row r="478">
      <x:c r="A478" s="157" t="str">
        <x:v>L000606</x:v>
      </x:c>
      <x:c r="B478" s="165" t="n">
        <x:v>44986</x:v>
      </x:c>
      <x:c r="C478" s="157" t="str">
        <x:v>Healthcare</x:v>
      </x:c>
      <x:c r="D478" s="157" t="str">
        <x:v>revolving</x:v>
      </x:c>
      <x:c r="E478" s="157" t="str">
        <x:v>unsecured</x:v>
      </x:c>
      <x:c r="F478" s="157" t="str">
        <x:v>B</x:v>
      </x:c>
      <x:c r="G478" s="157" t="n">
        <x:v>711</x:v>
      </x:c>
      <x:c r="H478" s="166" t="n">
        <x:v>5695829.23</x:v>
      </x:c>
      <x:c r="I478" s="162" t="n">
        <x:v>0.579</x:v>
      </x:c>
      <x:c r="J478" s="162" t="n">
        <x:v>0.233367</x:v>
      </x:c>
      <x:c r="K478" s="157" t="str">
        <x:v>High</x:v>
      </x:c>
      <x:c r="L478" s="157" t="n">
        <x:v>2</x:v>
      </x:c>
      <x:c r="M478" s="157" t="str">
        <x:v>Manual Review</x:v>
      </x:c>
      <x:c r="N478" s="166" t="n">
        <x:v>769617.56</x:v>
      </x:c>
      <x:c r="O478" s="157" t="n">
        <x:v>0</x:v>
      </x:c>
      <x:c r="P478" s="157" t="str">
        <x:v>test</x:v>
      </x:c>
    </x:row>
    <x:row r="479">
      <x:c r="A479" s="157" t="str">
        <x:v>L034532</x:v>
      </x:c>
      <x:c r="B479" s="165" t="n">
        <x:v>44866</x:v>
      </x:c>
      <x:c r="C479" s="157" t="str">
        <x:v>Energy</x:v>
      </x:c>
      <x:c r="D479" s="157" t="str">
        <x:v>term_loan</x:v>
      </x:c>
      <x:c r="E479" s="157" t="str">
        <x:v>unsecured</x:v>
      </x:c>
      <x:c r="F479" s="157" t="str">
        <x:v>AA</x:v>
      </x:c>
      <x:c r="G479" s="157" t="n">
        <x:v>754</x:v>
      </x:c>
      <x:c r="H479" s="166" t="n">
        <x:v>6082967.48</x:v>
      </x:c>
      <x:c r="I479" s="162" t="n">
        <x:v>0.729</x:v>
      </x:c>
      <x:c r="J479" s="162" t="n">
        <x:v>0.173298</x:v>
      </x:c>
      <x:c r="K479" s="157" t="str">
        <x:v>High</x:v>
      </x:c>
      <x:c r="L479" s="157" t="n">
        <x:v>4</x:v>
      </x:c>
      <x:c r="M479" s="157" t="str">
        <x:v>Manual Review</x:v>
      </x:c>
      <x:c r="N479" s="166" t="n">
        <x:v>768487.09</x:v>
      </x:c>
      <x:c r="O479" s="157" t="n">
        <x:v>0</x:v>
      </x:c>
      <x:c r="P479" s="157" t="str">
        <x:v>test</x:v>
      </x:c>
    </x:row>
    <x:row r="480">
      <x:c r="A480" s="157" t="str">
        <x:v>L032423</x:v>
      </x:c>
      <x:c r="B480" s="165" t="n">
        <x:v>44593</x:v>
      </x:c>
      <x:c r="C480" s="157" t="str">
        <x:v>Financials</x:v>
      </x:c>
      <x:c r="D480" s="157" t="str">
        <x:v>bond</x:v>
      </x:c>
      <x:c r="E480" s="157" t="str">
        <x:v>secured</x:v>
      </x:c>
      <x:c r="F480" s="157" t="str">
        <x:v>B</x:v>
      </x:c>
      <x:c r="G480" s="157" t="n">
        <x:v>715</x:v>
      </x:c>
      <x:c r="H480" s="166" t="n">
        <x:v>7640145.24</x:v>
      </x:c>
      <x:c r="I480" s="162" t="n">
        <x:v>0.4892</x:v>
      </x:c>
      <x:c r="J480" s="162" t="n">
        <x:v>0.205522</x:v>
      </x:c>
      <x:c r="K480" s="157" t="str">
        <x:v>High</x:v>
      </x:c>
      <x:c r="L480" s="157" t="n">
        <x:v>2</x:v>
      </x:c>
      <x:c r="M480" s="157" t="str">
        <x:v>Manual Review</x:v>
      </x:c>
      <x:c r="N480" s="166" t="n">
        <x:v>768150.61</x:v>
      </x:c>
      <x:c r="O480" s="157" t="n">
        <x:v>0</x:v>
      </x:c>
      <x:c r="P480" s="157" t="str">
        <x:v>test</x:v>
      </x:c>
    </x:row>
    <x:row r="481">
      <x:c r="A481" s="157" t="str">
        <x:v>L048152</x:v>
      </x:c>
      <x:c r="B481" s="165" t="n">
        <x:v>45139</x:v>
      </x:c>
      <x:c r="C481" s="157" t="str">
        <x:v>Utilities</x:v>
      </x:c>
      <x:c r="D481" s="157" t="str">
        <x:v>term_loan</x:v>
      </x:c>
      <x:c r="E481" s="157" t="str">
        <x:v>secured</x:v>
      </x:c>
      <x:c r="F481" s="157" t="str">
        <x:v>B</x:v>
      </x:c>
      <x:c r="G481" s="157" t="n">
        <x:v>626</x:v>
      </x:c>
      <x:c r="H481" s="166" t="n">
        <x:v>5552187.49</x:v>
      </x:c>
      <x:c r="I481" s="162" t="n">
        <x:v>0.5808</x:v>
      </x:c>
      <x:c r="J481" s="162" t="n">
        <x:v>0.236825</x:v>
      </x:c>
      <x:c r="K481" s="157" t="str">
        <x:v>High</x:v>
      </x:c>
      <x:c r="L481" s="157" t="n">
        <x:v>2</x:v>
      </x:c>
      <x:c r="M481" s="157" t="str">
        <x:v>Manual Review</x:v>
      </x:c>
      <x:c r="N481" s="166" t="n">
        <x:v>763692.06</x:v>
      </x:c>
      <x:c r="O481" s="157" t="n">
        <x:v>1</x:v>
      </x:c>
      <x:c r="P481" s="157" t="str">
        <x:v>test</x:v>
      </x:c>
    </x:row>
    <x:row r="482">
      <x:c r="A482" s="157" t="str">
        <x:v>L042723</x:v>
      </x:c>
      <x:c r="B482" s="165" t="n">
        <x:v>44743</x:v>
      </x:c>
      <x:c r="C482" s="157" t="str">
        <x:v>Financials</x:v>
      </x:c>
      <x:c r="D482" s="157" t="str">
        <x:v>lease</x:v>
      </x:c>
      <x:c r="E482" s="157" t="str">
        <x:v>secured</x:v>
      </x:c>
      <x:c r="F482" s="157" t="str">
        <x:v>BB</x:v>
      </x:c>
      <x:c r="G482" s="157" t="n">
        <x:v>676</x:v>
      </x:c>
      <x:c r="H482" s="166" t="n">
        <x:v>7709302.7</x:v>
      </x:c>
      <x:c r="I482" s="162" t="n">
        <x:v>0.5101</x:v>
      </x:c>
      <x:c r="J482" s="162" t="n">
        <x:v>0.193855</x:v>
      </x:c>
      <x:c r="K482" s="157" t="str">
        <x:v>High</x:v>
      </x:c>
      <x:c r="L482" s="157" t="n">
        <x:v>3</x:v>
      </x:c>
      <x:c r="M482" s="157" t="str">
        <x:v>Manual Review</x:v>
      </x:c>
      <x:c r="N482" s="166" t="n">
        <x:v>762337.75</x:v>
      </x:c>
      <x:c r="O482" s="157" t="n">
        <x:v>1</x:v>
      </x:c>
      <x:c r="P482" s="157" t="str">
        <x:v>test</x:v>
      </x:c>
    </x:row>
    <x:row r="483">
      <x:c r="A483" s="157" t="str">
        <x:v>L002648</x:v>
      </x:c>
      <x:c r="B483" s="165" t="n">
        <x:v>44593</x:v>
      </x:c>
      <x:c r="C483" s="157" t="str">
        <x:v>Utilities</x:v>
      </x:c>
      <x:c r="D483" s="157" t="str">
        <x:v>mortgage</x:v>
      </x:c>
      <x:c r="E483" s="157" t="str">
        <x:v>partially_secured</x:v>
      </x:c>
      <x:c r="F483" s="157" t="str">
        <x:v>CCC</x:v>
      </x:c>
      <x:c r="G483" s="157" t="n">
        <x:v>601</x:v>
      </x:c>
      <x:c r="H483" s="166" t="n">
        <x:v>3835742.88</x:v>
      </x:c>
      <x:c r="I483" s="162" t="n">
        <x:v>0.5783</x:v>
      </x:c>
      <x:c r="J483" s="162" t="n">
        <x:v>0.342887</x:v>
      </x:c>
      <x:c r="K483" s="157" t="str">
        <x:v>Very High</x:v>
      </x:c>
      <x:c r="L483" s="157" t="n">
        <x:v>1</x:v>
      </x:c>
      <x:c r="M483" s="157" t="str">
        <x:v>Manual Review</x:v>
      </x:c>
      <x:c r="N483" s="166" t="n">
        <x:v>760595.41</x:v>
      </x:c>
      <x:c r="O483" s="157" t="n">
        <x:v>1</x:v>
      </x:c>
      <x:c r="P483" s="157" t="str">
        <x:v>test</x:v>
      </x:c>
    </x:row>
    <x:row r="484">
      <x:c r="A484" s="157" t="str">
        <x:v>L004945</x:v>
      </x:c>
      <x:c r="B484" s="165" t="n">
        <x:v>44896</x:v>
      </x:c>
      <x:c r="C484" s="157" t="str">
        <x:v>Healthcare</x:v>
      </x:c>
      <x:c r="D484" s="157" t="str">
        <x:v>term_loan</x:v>
      </x:c>
      <x:c r="E484" s="157" t="str">
        <x:v>secured</x:v>
      </x:c>
      <x:c r="F484" s="157" t="str">
        <x:v>BBB</x:v>
      </x:c>
      <x:c r="G484" s="157" t="n">
        <x:v>739</x:v>
      </x:c>
      <x:c r="H484" s="166" t="n">
        <x:v>10270408.54</x:v>
      </x:c>
      <x:c r="I484" s="162" t="n">
        <x:v>0.4065</x:v>
      </x:c>
      <x:c r="J484" s="162" t="n">
        <x:v>0.182143</x:v>
      </x:c>
      <x:c r="K484" s="157" t="str">
        <x:v>High</x:v>
      </x:c>
      <x:c r="L484" s="157" t="n">
        <x:v>3</x:v>
      </x:c>
      <x:c r="M484" s="157" t="str">
        <x:v>Manual Review</x:v>
      </x:c>
      <x:c r="N484" s="166" t="n">
        <x:v>760432.65</x:v>
      </x:c>
      <x:c r="O484" s="157" t="n">
        <x:v>0</x:v>
      </x:c>
      <x:c r="P484" s="157" t="str">
        <x:v>test</x:v>
      </x:c>
    </x:row>
    <x:row r="485">
      <x:c r="A485" s="157" t="str">
        <x:v>L042625</x:v>
      </x:c>
      <x:c r="B485" s="165" t="n">
        <x:v>45078</x:v>
      </x:c>
      <x:c r="C485" s="157" t="str">
        <x:v>Utilities</x:v>
      </x:c>
      <x:c r="D485" s="157" t="str">
        <x:v>revolving</x:v>
      </x:c>
      <x:c r="E485" s="157" t="str">
        <x:v>partially_secured</x:v>
      </x:c>
      <x:c r="F485" s="157" t="str">
        <x:v>B</x:v>
      </x:c>
      <x:c r="G485" s="157" t="n">
        <x:v>686</x:v>
      </x:c>
      <x:c r="H485" s="166" t="n">
        <x:v>4171995.44</x:v>
      </x:c>
      <x:c r="I485" s="162" t="n">
        <x:v>0.6704</x:v>
      </x:c>
      <x:c r="J485" s="162" t="n">
        <x:v>0.27162</x:v>
      </x:c>
      <x:c r="K485" s="157" t="str">
        <x:v>High</x:v>
      </x:c>
      <x:c r="L485" s="157" t="n">
        <x:v>1</x:v>
      </x:c>
      <x:c r="M485" s="157" t="str">
        <x:v>Manual Review</x:v>
      </x:c>
      <x:c r="N485" s="166" t="n">
        <x:v>759695.54</x:v>
      </x:c>
      <x:c r="O485" s="157" t="n">
        <x:v>0</x:v>
      </x:c>
      <x:c r="P485" s="157" t="str">
        <x:v>test</x:v>
      </x:c>
    </x:row>
    <x:row r="486">
      <x:c r="A486" s="157" t="str">
        <x:v>L041314</x:v>
      </x:c>
      <x:c r="B486" s="165" t="n">
        <x:v>45231</x:v>
      </x:c>
      <x:c r="C486" s="157" t="str">
        <x:v>Telecom</x:v>
      </x:c>
      <x:c r="D486" s="157" t="str">
        <x:v>bond</x:v>
      </x:c>
      <x:c r="E486" s="157" t="str">
        <x:v>unsecured</x:v>
      </x:c>
      <x:c r="F486" s="157" t="str">
        <x:v>AA</x:v>
      </x:c>
      <x:c r="G486" s="157" t="n">
        <x:v>757</x:v>
      </x:c>
      <x:c r="H486" s="166" t="n">
        <x:v>7851481.59</x:v>
      </x:c>
      <x:c r="I486" s="162" t="n">
        <x:v>0.554</x:v>
      </x:c>
      <x:c r="J486" s="162" t="n">
        <x:v>0.173618</x:v>
      </x:c>
      <x:c r="K486" s="157" t="str">
        <x:v>High</x:v>
      </x:c>
      <x:c r="L486" s="157" t="n">
        <x:v>4</x:v>
      </x:c>
      <x:c r="M486" s="157" t="str">
        <x:v>Manual Review</x:v>
      </x:c>
      <x:c r="N486" s="166" t="n">
        <x:v>755189.83</x:v>
      </x:c>
      <x:c r="O486" s="157" t="n">
        <x:v>0</x:v>
      </x:c>
      <x:c r="P486" s="157" t="str">
        <x:v>test</x:v>
      </x:c>
    </x:row>
    <x:row r="487">
      <x:c r="A487" s="157" t="str">
        <x:v>L004564</x:v>
      </x:c>
      <x:c r="B487" s="165" t="n">
        <x:v>45047</x:v>
      </x:c>
      <x:c r="C487" s="157" t="str">
        <x:v>Telecom</x:v>
      </x:c>
      <x:c r="D487" s="157" t="str">
        <x:v>term_loan</x:v>
      </x:c>
      <x:c r="E487" s="157" t="str">
        <x:v>secured</x:v>
      </x:c>
      <x:c r="F487" s="157" t="str">
        <x:v>B</x:v>
      </x:c>
      <x:c r="G487" s="157" t="n">
        <x:v>657</x:v>
      </x:c>
      <x:c r="H487" s="166" t="n">
        <x:v>12658749.77</x:v>
      </x:c>
      <x:c r="I487" s="162" t="n">
        <x:v>0.2811</x:v>
      </x:c>
      <x:c r="J487" s="162" t="n">
        <x:v>0.212178</x:v>
      </x:c>
      <x:c r="K487" s="157" t="str">
        <x:v>High</x:v>
      </x:c>
      <x:c r="L487" s="157" t="n">
        <x:v>2</x:v>
      </x:c>
      <x:c r="M487" s="157" t="str">
        <x:v>Manual Review</x:v>
      </x:c>
      <x:c r="N487" s="166" t="n">
        <x:v>755008.8</x:v>
      </x:c>
      <x:c r="O487" s="157" t="n">
        <x:v>0</x:v>
      </x:c>
      <x:c r="P487" s="157" t="str">
        <x:v>test</x:v>
      </x:c>
    </x:row>
    <x:row r="488">
      <x:c r="A488" s="157" t="str">
        <x:v>L010382</x:v>
      </x:c>
      <x:c r="B488" s="165" t="n">
        <x:v>45047</x:v>
      </x:c>
      <x:c r="C488" s="157" t="str">
        <x:v>Retail</x:v>
      </x:c>
      <x:c r="D488" s="157" t="str">
        <x:v>term_loan</x:v>
      </x:c>
      <x:c r="E488" s="157" t="str">
        <x:v>unsecured</x:v>
      </x:c>
      <x:c r="F488" s="157" t="str">
        <x:v>BB</x:v>
      </x:c>
      <x:c r="G488" s="157" t="n">
        <x:v>646</x:v>
      </x:c>
      <x:c r="H488" s="166" t="n">
        <x:v>5430662.45</x:v>
      </x:c>
      <x:c r="I488" s="162" t="n">
        <x:v>0.7255</x:v>
      </x:c>
      <x:c r="J488" s="162" t="n">
        <x:v>0.191357</x:v>
      </x:c>
      <x:c r="K488" s="157" t="str">
        <x:v>High</x:v>
      </x:c>
      <x:c r="L488" s="157" t="n">
        <x:v>3</x:v>
      </x:c>
      <x:c r="M488" s="157" t="str">
        <x:v>Manual Review</x:v>
      </x:c>
      <x:c r="N488" s="166" t="n">
        <x:v>753936.17</x:v>
      </x:c>
      <x:c r="O488" s="157" t="n">
        <x:v>0</x:v>
      </x:c>
      <x:c r="P488" s="157" t="str">
        <x:v>test</x:v>
      </x:c>
    </x:row>
    <x:row r="489">
      <x:c r="A489" s="157" t="str">
        <x:v>L001996</x:v>
      </x:c>
      <x:c r="B489" s="165" t="n">
        <x:v>45108</x:v>
      </x:c>
      <x:c r="C489" s="157" t="str">
        <x:v>Industrials</x:v>
      </x:c>
      <x:c r="D489" s="157" t="str">
        <x:v>mortgage</x:v>
      </x:c>
      <x:c r="E489" s="157" t="str">
        <x:v>secured</x:v>
      </x:c>
      <x:c r="F489" s="157" t="str">
        <x:v>B</x:v>
      </x:c>
      <x:c r="G489" s="157" t="n">
        <x:v>714</x:v>
      </x:c>
      <x:c r="H489" s="166" t="n">
        <x:v>6024118.28</x:v>
      </x:c>
      <x:c r="I489" s="162" t="n">
        <x:v>0.5085</x:v>
      </x:c>
      <x:c r="J489" s="162" t="n">
        <x:v>0.244985</x:v>
      </x:c>
      <x:c r="K489" s="157" t="str">
        <x:v>High</x:v>
      </x:c>
      <x:c r="L489" s="157" t="n">
        <x:v>2</x:v>
      </x:c>
      <x:c r="M489" s="157" t="str">
        <x:v>Manual Review</x:v>
      </x:c>
      <x:c r="N489" s="166" t="n">
        <x:v>750453.77</x:v>
      </x:c>
      <x:c r="O489" s="157" t="n">
        <x:v>0</x:v>
      </x:c>
      <x:c r="P489" s="157" t="str">
        <x:v>test</x:v>
      </x:c>
    </x:row>
    <x:row r="490">
      <x:c r="A490" s="157" t="str">
        <x:v>L026704</x:v>
      </x:c>
      <x:c r="B490" s="165" t="n">
        <x:v>45261</x:v>
      </x:c>
      <x:c r="C490" s="157" t="str">
        <x:v>Telecom</x:v>
      </x:c>
      <x:c r="D490" s="157" t="str">
        <x:v>term_loan</x:v>
      </x:c>
      <x:c r="E490" s="157" t="str">
        <x:v>secured</x:v>
      </x:c>
      <x:c r="F490" s="157" t="str">
        <x:v>BBB</x:v>
      </x:c>
      <x:c r="G490" s="157" t="n">
        <x:v>708</x:v>
      </x:c>
      <x:c r="H490" s="166" t="n">
        <x:v>6992780.21</x:v>
      </x:c>
      <x:c r="I490" s="162" t="n">
        <x:v>0.595</x:v>
      </x:c>
      <x:c r="J490" s="162" t="n">
        <x:v>0.179985</x:v>
      </x:c>
      <x:c r="K490" s="157" t="str">
        <x:v>High</x:v>
      </x:c>
      <x:c r="L490" s="157" t="n">
        <x:v>3</x:v>
      </x:c>
      <x:c r="M490" s="157" t="str">
        <x:v>Manual Review</x:v>
      </x:c>
      <x:c r="N490" s="166" t="n">
        <x:v>748864.35</x:v>
      </x:c>
      <x:c r="O490" s="157" t="n">
        <x:v>0</x:v>
      </x:c>
      <x:c r="P490" s="157" t="str">
        <x:v>test</x:v>
      </x:c>
    </x:row>
    <x:row r="491">
      <x:c r="A491" s="157" t="str">
        <x:v>L022975</x:v>
      </x:c>
      <x:c r="B491" s="165" t="n">
        <x:v>45231</x:v>
      </x:c>
      <x:c r="C491" s="157" t="str">
        <x:v>Telecom</x:v>
      </x:c>
      <x:c r="D491" s="157" t="str">
        <x:v>term_loan</x:v>
      </x:c>
      <x:c r="E491" s="157" t="str">
        <x:v>unsecured</x:v>
      </x:c>
      <x:c r="F491" s="157" t="str">
        <x:v>AA</x:v>
      </x:c>
      <x:c r="G491" s="157" t="n">
        <x:v>713</x:v>
      </x:c>
      <x:c r="H491" s="166" t="n">
        <x:v>6100074.85</x:v>
      </x:c>
      <x:c r="I491" s="162" t="n">
        <x:v>0.7034</x:v>
      </x:c>
      <x:c r="J491" s="162" t="n">
        <x:v>0.174264</x:v>
      </x:c>
      <x:c r="K491" s="157" t="str">
        <x:v>High</x:v>
      </x:c>
      <x:c r="L491" s="157" t="n">
        <x:v>4</x:v>
      </x:c>
      <x:c r="M491" s="157" t="str">
        <x:v>Manual Review</x:v>
      </x:c>
      <x:c r="N491" s="166" t="n">
        <x:v>747730.69</x:v>
      </x:c>
      <x:c r="O491" s="157" t="n">
        <x:v>0</x:v>
      </x:c>
      <x:c r="P491" s="157" t="str">
        <x:v>test</x:v>
      </x:c>
    </x:row>
    <x:row r="492">
      <x:c r="A492" s="157" t="str">
        <x:v>L011878</x:v>
      </x:c>
      <x:c r="B492" s="165" t="n">
        <x:v>45108</x:v>
      </x:c>
      <x:c r="C492" s="157" t="str">
        <x:v>Financials</x:v>
      </x:c>
      <x:c r="D492" s="157" t="str">
        <x:v>term_loan</x:v>
      </x:c>
      <x:c r="E492" s="157" t="str">
        <x:v>unsecured</x:v>
      </x:c>
      <x:c r="F492" s="157" t="str">
        <x:v>B</x:v>
      </x:c>
      <x:c r="G492" s="157" t="n">
        <x:v>699</x:v>
      </x:c>
      <x:c r="H492" s="166" t="n">
        <x:v>7402650.11</x:v>
      </x:c>
      <x:c r="I492" s="162" t="n">
        <x:v>0.5909</x:v>
      </x:c>
      <x:c r="J492" s="162" t="n">
        <x:v>0.170923</x:v>
      </x:c>
      <x:c r="K492" s="157" t="str">
        <x:v>High</x:v>
      </x:c>
      <x:c r="L492" s="157" t="n">
        <x:v>4</x:v>
      </x:c>
      <x:c r="M492" s="157" t="str">
        <x:v>Manual Review</x:v>
      </x:c>
      <x:c r="N492" s="166" t="n">
        <x:v>747655.82</x:v>
      </x:c>
      <x:c r="O492" s="157" t="n">
        <x:v>0</x:v>
      </x:c>
      <x:c r="P492" s="157" t="str">
        <x:v>test</x:v>
      </x:c>
    </x:row>
    <x:row r="493">
      <x:c r="A493" s="157" t="str">
        <x:v>L045316</x:v>
      </x:c>
      <x:c r="B493" s="165" t="n">
        <x:v>44652</x:v>
      </x:c>
      <x:c r="C493" s="157" t="str">
        <x:v>Technology</x:v>
      </x:c>
      <x:c r="D493" s="157" t="str">
        <x:v>term_loan</x:v>
      </x:c>
      <x:c r="E493" s="157" t="str">
        <x:v>secured</x:v>
      </x:c>
      <x:c r="F493" s="157" t="str">
        <x:v>CCC</x:v>
      </x:c>
      <x:c r="G493" s="157" t="n">
        <x:v>688</x:v>
      </x:c>
      <x:c r="H493" s="166" t="n">
        <x:v>3861417.8</x:v>
      </x:c>
      <x:c r="I493" s="162" t="n">
        <x:v>0.6025</x:v>
      </x:c>
      <x:c r="J493" s="162" t="n">
        <x:v>0.321335</x:v>
      </x:c>
      <x:c r="K493" s="157" t="str">
        <x:v>Very High</x:v>
      </x:c>
      <x:c r="L493" s="157" t="n">
        <x:v>1</x:v>
      </x:c>
      <x:c r="M493" s="157" t="str">
        <x:v>Manual Review</x:v>
      </x:c>
      <x:c r="N493" s="166" t="n">
        <x:v>747587.23</x:v>
      </x:c>
      <x:c r="O493" s="157" t="n">
        <x:v>0</x:v>
      </x:c>
      <x:c r="P493" s="157" t="str">
        <x:v>test</x:v>
      </x:c>
    </x:row>
    <x:row r="494">
      <x:c r="A494" s="157" t="str">
        <x:v>L032170</x:v>
      </x:c>
      <x:c r="B494" s="165" t="n">
        <x:v>44896</x:v>
      </x:c>
      <x:c r="C494" s="157" t="str">
        <x:v>Utilities</x:v>
      </x:c>
      <x:c r="D494" s="157" t="str">
        <x:v>term_loan</x:v>
      </x:c>
      <x:c r="E494" s="157" t="str">
        <x:v>secured</x:v>
      </x:c>
      <x:c r="F494" s="157" t="str">
        <x:v>BB</x:v>
      </x:c>
      <x:c r="G494" s="157" t="n">
        <x:v>667</x:v>
      </x:c>
      <x:c r="H494" s="166" t="n">
        <x:v>8963514.97</x:v>
      </x:c>
      <x:c r="I494" s="162" t="n">
        <x:v>0.3794</x:v>
      </x:c>
      <x:c r="J494" s="162" t="n">
        <x:v>0.219454</x:v>
      </x:c>
      <x:c r="K494" s="157" t="str">
        <x:v>High</x:v>
      </x:c>
      <x:c r="L494" s="157" t="n">
        <x:v>2</x:v>
      </x:c>
      <x:c r="M494" s="157" t="str">
        <x:v>Manual Review</x:v>
      </x:c>
      <x:c r="N494" s="166" t="n">
        <x:v>746309.85</x:v>
      </x:c>
      <x:c r="O494" s="157" t="n">
        <x:v>0</x:v>
      </x:c>
      <x:c r="P494" s="157" t="str">
        <x:v>test</x:v>
      </x:c>
    </x:row>
    <x:row r="495">
      <x:c r="A495" s="157" t="str">
        <x:v>L003208</x:v>
      </x:c>
      <x:c r="B495" s="165" t="n">
        <x:v>45078</x:v>
      </x:c>
      <x:c r="C495" s="157" t="str">
        <x:v>Real_Estate</x:v>
      </x:c>
      <x:c r="D495" s="157" t="str">
        <x:v>bond</x:v>
      </x:c>
      <x:c r="E495" s="157" t="str">
        <x:v>unsecured</x:v>
      </x:c>
      <x:c r="F495" s="157" t="str">
        <x:v>B</x:v>
      </x:c>
      <x:c r="G495" s="157" t="n">
        <x:v>681</x:v>
      </x:c>
      <x:c r="H495" s="166" t="n">
        <x:v>5510494.97</x:v>
      </x:c>
      <x:c r="I495" s="162" t="n">
        <x:v>0.6543</x:v>
      </x:c>
      <x:c r="J495" s="162" t="n">
        <x:v>0.206738</x:v>
      </x:c>
      <x:c r="K495" s="157" t="str">
        <x:v>High</x:v>
      </x:c>
      <x:c r="L495" s="157" t="n">
        <x:v>2</x:v>
      </x:c>
      <x:c r="M495" s="157" t="str">
        <x:v>Manual Review</x:v>
      </x:c>
      <x:c r="N495" s="166" t="n">
        <x:v>745397.34</x:v>
      </x:c>
      <x:c r="O495" s="157" t="n">
        <x:v>1</x:v>
      </x:c>
      <x:c r="P495" s="157" t="str">
        <x:v>test</x:v>
      </x:c>
    </x:row>
    <x:row r="496">
      <x:c r="A496" s="157" t="str">
        <x:v>L015515</x:v>
      </x:c>
      <x:c r="B496" s="165" t="n">
        <x:v>45017</x:v>
      </x:c>
      <x:c r="C496" s="157" t="str">
        <x:v>Consumer</x:v>
      </x:c>
      <x:c r="D496" s="157" t="str">
        <x:v>bond</x:v>
      </x:c>
      <x:c r="E496" s="157" t="str">
        <x:v>unsecured</x:v>
      </x:c>
      <x:c r="F496" s="157" t="str">
        <x:v>CCC</x:v>
      </x:c>
      <x:c r="G496" s="157" t="n">
        <x:v>574</x:v>
      </x:c>
      <x:c r="H496" s="166" t="n">
        <x:v>2083944.21</x:v>
      </x:c>
      <x:c r="I496" s="162" t="n">
        <x:v>0.8101</x:v>
      </x:c>
      <x:c r="J496" s="162" t="n">
        <x:v>0.441098</x:v>
      </x:c>
      <x:c r="K496" s="157" t="str">
        <x:v>Very High</x:v>
      </x:c>
      <x:c r="L496" s="157" t="n">
        <x:v>1</x:v>
      </x:c>
      <x:c r="M496" s="157" t="str">
        <x:v>Manual Review</x:v>
      </x:c>
      <x:c r="N496" s="166" t="n">
        <x:v>744663.06</x:v>
      </x:c>
      <x:c r="O496" s="157" t="n">
        <x:v>1</x:v>
      </x:c>
      <x:c r="P496" s="157" t="str">
        <x:v>test</x:v>
      </x:c>
    </x:row>
    <x:row r="497">
      <x:c r="A497" s="157" t="str">
        <x:v>L026098</x:v>
      </x:c>
      <x:c r="B497" s="165" t="n">
        <x:v>45231</x:v>
      </x:c>
      <x:c r="C497" s="157" t="str">
        <x:v>Industrials</x:v>
      </x:c>
      <x:c r="D497" s="157" t="str">
        <x:v>term_loan</x:v>
      </x:c>
      <x:c r="E497" s="157" t="str">
        <x:v>secured</x:v>
      </x:c>
      <x:c r="F497" s="157" t="str">
        <x:v>B</x:v>
      </x:c>
      <x:c r="G497" s="157" t="n">
        <x:v>666</x:v>
      </x:c>
      <x:c r="H497" s="166" t="n">
        <x:v>7433224.69</x:v>
      </x:c>
      <x:c r="I497" s="162" t="n">
        <x:v>0.369</x:v>
      </x:c>
      <x:c r="J497" s="162" t="n">
        <x:v>0.271221</x:v>
      </x:c>
      <x:c r="K497" s="157" t="str">
        <x:v>High</x:v>
      </x:c>
      <x:c r="L497" s="157" t="n">
        <x:v>1</x:v>
      </x:c>
      <x:c r="M497" s="157" t="str">
        <x:v>Manual Review</x:v>
      </x:c>
      <x:c r="N497" s="166" t="n">
        <x:v>743921.21</x:v>
      </x:c>
      <x:c r="O497" s="157" t="n">
        <x:v>0</x:v>
      </x:c>
      <x:c r="P497" s="157" t="str">
        <x:v>test</x:v>
      </x:c>
    </x:row>
    <x:row r="498">
      <x:c r="A498" s="157" t="str">
        <x:v>L038901</x:v>
      </x:c>
      <x:c r="B498" s="165" t="n">
        <x:v>45170</x:v>
      </x:c>
      <x:c r="C498" s="157" t="str">
        <x:v>Technology</x:v>
      </x:c>
      <x:c r="D498" s="157" t="str">
        <x:v>term_loan</x:v>
      </x:c>
      <x:c r="E498" s="157" t="str">
        <x:v>unsecured</x:v>
      </x:c>
      <x:c r="F498" s="157" t="str">
        <x:v>BBB</x:v>
      </x:c>
      <x:c r="G498" s="157" t="n">
        <x:v>673</x:v>
      </x:c>
      <x:c r="H498" s="166" t="n">
        <x:v>5677307.38</x:v>
      </x:c>
      <x:c r="I498" s="162" t="n">
        <x:v>0.7572</x:v>
      </x:c>
      <x:c r="J498" s="162" t="n">
        <x:v>0.172763</x:v>
      </x:c>
      <x:c r="K498" s="157" t="str">
        <x:v>High</x:v>
      </x:c>
      <x:c r="L498" s="157" t="n">
        <x:v>4</x:v>
      </x:c>
      <x:c r="M498" s="157" t="str">
        <x:v>Manual Review</x:v>
      </x:c>
      <x:c r="N498" s="166" t="n">
        <x:v>742683.46</x:v>
      </x:c>
      <x:c r="O498" s="157" t="n">
        <x:v>0</x:v>
      </x:c>
      <x:c r="P498" s="157" t="str">
        <x:v>test</x:v>
      </x:c>
    </x:row>
    <x:row r="499">
      <x:c r="A499" s="157" t="str">
        <x:v>L024596</x:v>
      </x:c>
      <x:c r="B499" s="165" t="n">
        <x:v>45017</x:v>
      </x:c>
      <x:c r="C499" s="157" t="str">
        <x:v>Technology</x:v>
      </x:c>
      <x:c r="D499" s="157" t="str">
        <x:v>revolving</x:v>
      </x:c>
      <x:c r="E499" s="157" t="str">
        <x:v>secured</x:v>
      </x:c>
      <x:c r="F499" s="157" t="str">
        <x:v>BB</x:v>
      </x:c>
      <x:c r="G499" s="157" t="n">
        <x:v>682</x:v>
      </x:c>
      <x:c r="H499" s="166" t="n">
        <x:v>8168651.75</x:v>
      </x:c>
      <x:c r="I499" s="162" t="n">
        <x:v>0.4374</x:v>
      </x:c>
      <x:c r="J499" s="162" t="n">
        <x:v>0.207706</x:v>
      </x:c>
      <x:c r="K499" s="157" t="str">
        <x:v>High</x:v>
      </x:c>
      <x:c r="L499" s="157" t="n">
        <x:v>2</x:v>
      </x:c>
      <x:c r="M499" s="157" t="str">
        <x:v>Manual Review</x:v>
      </x:c>
      <x:c r="N499" s="166" t="n">
        <x:v>742126.95</x:v>
      </x:c>
      <x:c r="O499" s="157" t="n">
        <x:v>0</x:v>
      </x:c>
      <x:c r="P499" s="157" t="str">
        <x:v>test</x:v>
      </x:c>
    </x:row>
    <x:row r="500">
      <x:c r="A500" s="157" t="str">
        <x:v>L045197</x:v>
      </x:c>
      <x:c r="B500" s="165" t="n">
        <x:v>44743</x:v>
      </x:c>
      <x:c r="C500" s="157" t="str">
        <x:v>Financials</x:v>
      </x:c>
      <x:c r="D500" s="157" t="str">
        <x:v>revolving</x:v>
      </x:c>
      <x:c r="E500" s="157" t="str">
        <x:v>unsecured</x:v>
      </x:c>
      <x:c r="F500" s="157" t="str">
        <x:v>BB</x:v>
      </x:c>
      <x:c r="G500" s="157" t="n">
        <x:v>689</x:v>
      </x:c>
      <x:c r="H500" s="166" t="n">
        <x:v>5804707.59</x:v>
      </x:c>
      <x:c r="I500" s="162" t="n">
        <x:v>0.6008</x:v>
      </x:c>
      <x:c r="J500" s="162" t="n">
        <x:v>0.212598</x:v>
      </x:c>
      <x:c r="K500" s="157" t="str">
        <x:v>High</x:v>
      </x:c>
      <x:c r="L500" s="157" t="n">
        <x:v>2</x:v>
      </x:c>
      <x:c r="M500" s="157" t="str">
        <x:v>Manual Review</x:v>
      </x:c>
      <x:c r="N500" s="166" t="n">
        <x:v>741428.79</x:v>
      </x:c>
      <x:c r="O500" s="157" t="n">
        <x:v>0</x:v>
      </x:c>
      <x:c r="P500" s="157" t="str">
        <x:v>test</x:v>
      </x:c>
    </x:row>
    <x:row r="501">
      <x:c r="A501" s="157" t="str">
        <x:v>L009433</x:v>
      </x:c>
      <x:c r="B501" s="165" t="n">
        <x:v>44682</x:v>
      </x:c>
      <x:c r="C501" s="157" t="str">
        <x:v>Retail</x:v>
      </x:c>
      <x:c r="D501" s="157" t="str">
        <x:v>mortgage</x:v>
      </x:c>
      <x:c r="E501" s="157" t="str">
        <x:v>secured</x:v>
      </x:c>
      <x:c r="F501" s="157" t="str">
        <x:v>CCC</x:v>
      </x:c>
      <x:c r="G501" s="157" t="n">
        <x:v>650</x:v>
      </x:c>
      <x:c r="H501" s="166" t="n">
        <x:v>3142006.74</x:v>
      </x:c>
      <x:c r="I501" s="162" t="n">
        <x:v>0.5446</x:v>
      </x:c>
      <x:c r="J501" s="162" t="n">
        <x:v>0.433285</x:v>
      </x:c>
      <x:c r="K501" s="157" t="str">
        <x:v>Very High</x:v>
      </x:c>
      <x:c r="L501" s="157" t="n">
        <x:v>1</x:v>
      </x:c>
      <x:c r="M501" s="157" t="str">
        <x:v>Manual Review</x:v>
      </x:c>
      <x:c r="N501" s="166" t="n">
        <x:v>741409.94</x:v>
      </x:c>
      <x:c r="O501" s="157" t="n">
        <x:v>0</x:v>
      </x:c>
      <x:c r="P501" s="157" t="str">
        <x:v>test</x:v>
      </x:c>
    </x:row>
  </x:sheetData>
  <x:conditionalFormatting sqref="J2:J501">
    <x:cfRule type="colorScale" priority="1">
      <x:colorScale>
        <x:cfvo type="min"/>
        <x:cfvo type="percentile" val="50"/>
        <x:cfvo type="max"/>
        <x:color rgb="FFE8F6EF"/>
        <x:color rgb="FFFFF5D6"/>
        <x:color rgb="FFFBEAE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c1f66c6b0234c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>
      <x:c r="A1" s="158" t="str">
        <x:v>model_name</x:v>
      </x:c>
      <x:c r="B1" s="159" t="str">
        <x:v>feature</x:v>
      </x:c>
      <x:c r="C1" s="159" t="str">
        <x:v>importance_mean</x:v>
      </x:c>
      <x:c r="D1" s="160" t="str">
        <x:v>importance_std</x:v>
      </x:c>
    </x:row>
    <x:row r="2">
      <x:c r="A2" s="157" t="str">
        <x:v>Calibrated Random Forest</x:v>
      </x:c>
      <x:c r="B2" s="157" t="str">
        <x:v>initial_rating</x:v>
      </x:c>
      <x:c r="C2" s="164" t="n">
        <x:v>0.3083907360928898</x:v>
      </x:c>
      <x:c r="D2" s="164" t="n">
        <x:v>0.003914912989172</x:v>
      </x:c>
    </x:row>
    <x:row r="3">
      <x:c r="A3" s="157" t="str">
        <x:v>Calibrated Random Forest</x:v>
      </x:c>
      <x:c r="B3" s="157" t="str">
        <x:v>maturity_months</x:v>
      </x:c>
      <x:c r="C3" s="164" t="n">
        <x:v>0.0802966153979401</x:v>
      </x:c>
      <x:c r="D3" s="164" t="n">
        <x:v>0.0165383166216387</x:v>
      </x:c>
    </x:row>
    <x:row r="4">
      <x:c r="A4" s="157" t="str">
        <x:v>Calibrated Random Forest</x:v>
      </x:c>
      <x:c r="B4" s="157" t="str">
        <x:v>credit_score</x:v>
      </x:c>
      <x:c r="C4" s="164" t="n">
        <x:v>0.0194275372364134</x:v>
      </x:c>
      <x:c r="D4" s="164" t="n">
        <x:v>0.0123149620083207</x:v>
      </x:c>
    </x:row>
    <x:row r="5">
      <x:c r="A5" s="157" t="str">
        <x:v>Calibrated Random Forest</x:v>
      </x:c>
      <x:c r="B5" s="157" t="str">
        <x:v>origination_credit_spread_bps</x:v>
      </x:c>
      <x:c r="C5" s="164" t="n">
        <x:v>0.0122947059449791</x:v>
      </x:c>
      <x:c r="D5" s="164" t="n">
        <x:v>0.0050119400093172</x:v>
      </x:c>
    </x:row>
    <x:row r="6">
      <x:c r="A6" s="157" t="str">
        <x:v>Calibrated Random Forest</x:v>
      </x:c>
      <x:c r="B6" s="157" t="str">
        <x:v>coupon_rate</x:v>
      </x:c>
      <x:c r="C6" s="164" t="n">
        <x:v>0.0089560358863241</x:v>
      </x:c>
      <x:c r="D6" s="164" t="n">
        <x:v>0.0056480043721086</x:v>
      </x:c>
    </x:row>
    <x:row r="7">
      <x:c r="A7" s="157" t="str">
        <x:v>Calibrated Random Forest</x:v>
      </x:c>
      <x:c r="B7" s="157" t="str">
        <x:v>collateral</x:v>
      </x:c>
      <x:c r="C7" s="164" t="n">
        <x:v>0.005739054246598</x:v>
      </x:c>
      <x:c r="D7" s="164" t="n">
        <x:v>0.0010391868469754</x:v>
      </x:c>
    </x:row>
    <x:row r="8">
      <x:c r="A8" s="157" t="str">
        <x:v>Calibrated Random Forest</x:v>
      </x:c>
      <x:c r="B8" s="157" t="str">
        <x:v>log_ead</x:v>
      </x:c>
      <x:c r="C8" s="164" t="n">
        <x:v>0.0038451262729048</x:v>
      </x:c>
      <x:c r="D8" s="164" t="n">
        <x:v>0.0038192386765595</x:v>
      </x:c>
    </x:row>
    <x:row r="9">
      <x:c r="A9" s="157" t="str">
        <x:v>Calibrated Random Forest</x:v>
      </x:c>
      <x:c r="B9" s="157" t="str">
        <x:v>sector</x:v>
      </x:c>
      <x:c r="C9" s="164" t="n">
        <x:v>0.00219325614756</x:v>
      </x:c>
      <x:c r="D9" s="164" t="n">
        <x:v>0.0017485473678373</x:v>
      </x:c>
    </x:row>
    <x:row r="10">
      <x:c r="A10" s="157" t="str">
        <x:v>Calibrated Random Forest</x:v>
      </x:c>
      <x:c r="B10" s="157" t="str">
        <x:v>origination_gdp_growth</x:v>
      </x:c>
      <x:c r="C10" s="164" t="n">
        <x:v>0.0019927341489537</x:v>
      </x:c>
      <x:c r="D10" s="164" t="n">
        <x:v>0.002108470709964</x:v>
      </x:c>
    </x:row>
    <x:row r="11">
      <x:c r="A11" s="157" t="str">
        <x:v>Calibrated Random Forest</x:v>
      </x:c>
      <x:c r="B11" s="157" t="str">
        <x:v>leverage_to_coverage</x:v>
      </x:c>
      <x:c r="C11" s="164" t="n">
        <x:v>0.0016735682418019</x:v>
      </x:c>
      <x:c r="D11" s="164" t="n">
        <x:v>0.0015357703404906</x:v>
      </x:c>
    </x:row>
    <x:row r="12">
      <x:c r="A12" s="157" t="str">
        <x:v>Calibrated Random Forest</x:v>
      </x:c>
      <x:c r="B12" s="157" t="str">
        <x:v>origination_policy_rate</x:v>
      </x:c>
      <x:c r="C12" s="164" t="n">
        <x:v>0.0005492368085242</x:v>
      </x:c>
      <x:c r="D12" s="164" t="n">
        <x:v>0.0009006177429276</x:v>
      </x:c>
    </x:row>
    <x:row r="13">
      <x:c r="A13" s="157" t="str">
        <x:v>Calibrated Random Forest</x:v>
      </x:c>
      <x:c r="B13" s="157" t="str">
        <x:v>debt_to_equity</x:v>
      </x:c>
      <x:c r="C13" s="164" t="n">
        <x:v>0.0002658473906106</x:v>
      </x:c>
      <x:c r="D13" s="164" t="n">
        <x:v>0.0019516323351694</x:v>
      </x:c>
    </x:row>
    <x:row r="14">
      <x:c r="A14" s="157" t="str">
        <x:v>Calibrated Random Forest</x:v>
      </x:c>
      <x:c r="B14" s="157" t="str">
        <x:v>loan_type</x:v>
      </x:c>
      <x:c r="C14" s="164" t="n">
        <x:v>0.000040319039636402265</x:v>
      </x:c>
      <x:c r="D14" s="164" t="n">
        <x:v>0.002779151641188</x:v>
      </x:c>
    </x:row>
    <x:row r="15">
      <x:c r="A15" s="157" t="str">
        <x:v>Calibrated Random Forest</x:v>
      </x:c>
      <x:c r="B15" s="157" t="str">
        <x:v>origination_unemployment</x:v>
      </x:c>
      <x:c r="C15" s="164" t="n">
        <x:v>-0.00002392385648217199</x:v>
      </x:c>
      <x:c r="D15" s="164" t="n">
        <x:v>0.00006483469272894972</x:v>
      </x:c>
    </x:row>
    <x:row r="16">
      <x:c r="A16" s="157" t="str">
        <x:v>Calibrated Random Forest</x:v>
      </x:c>
      <x:c r="B16" s="157" t="str">
        <x:v>origination_month</x:v>
      </x:c>
      <x:c r="C16" s="164" t="n">
        <x:v>-0.0003189640246971</x:v>
      </x:c>
      <x:c r="D16" s="164" t="n">
        <x:v>0.0030293871266802</x:v>
      </x:c>
    </x:row>
    <x:row r="17">
      <x:c r="A17" s="157" t="str">
        <x:v>Calibrated Random Forest</x:v>
      </x:c>
      <x:c r="B17" s="157" t="str">
        <x:v>interest_coverage</x:v>
      </x:c>
      <x:c r="C17" s="164" t="n">
        <x:v>-0.0013805366624478</x:v>
      </x:c>
      <x:c r="D17" s="164" t="n">
        <x:v>0.0009602617626821</x:v>
      </x:c>
    </x:row>
    <x:row r="18">
      <x:c r="A18" s="157" t="str">
        <x:v>Calibrated Random Forest</x:v>
      </x:c>
      <x:c r="B18" s="157" t="str">
        <x:v>leverage</x:v>
      </x:c>
      <x:c r="C18" s="164" t="n">
        <x:v>-0.0023297479119455</x:v>
      </x:c>
      <x:c r="D18" s="164" t="n">
        <x:v>0.0033129961793102</x:v>
      </x:c>
    </x:row>
    <x:row r="19">
      <x:c r="A19" s="157" t="str">
        <x:v>Calibrated Random Forest</x:v>
      </x:c>
      <x:c r="B19" s="157" t="str">
        <x:v>debt_service_pressure</x:v>
      </x:c>
      <x:c r="C19" s="164" t="n">
        <x:v>-0.0032594526472674</x:v>
      </x:c>
      <x:c r="D19" s="164" t="n">
        <x:v>0.0030158171574484</x:v>
      </x:c>
    </x:row>
  </x:sheetData>
  <x:pageMargins left="0.7" right="0.7" top="0.75" bottom="0.75" header="0.3" footer="0.3"/>
  <x:drawing xmlns:r="http://schemas.openxmlformats.org/officeDocument/2006/relationships" r:id="R6a260e23f85545f9"/>
  <x:tableParts count="1">
    <x:tablePart xmlns:r="http://schemas.openxmlformats.org/officeDocument/2006/relationships" r:id="Rb7eac122b4184d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58" t="str">
        <x:v>risk_decile</x:v>
      </x:c>
      <x:c r="B1" s="159" t="str">
        <x:v>loan_count</x:v>
      </x:c>
      <x:c r="C1" s="159" t="str">
        <x:v>defaults</x:v>
      </x:c>
      <x:c r="D1" s="159" t="str">
        <x:v>default_rate</x:v>
      </x:c>
      <x:c r="E1" s="159" t="str">
        <x:v>avg_probability</x:v>
      </x:c>
      <x:c r="F1" s="159" t="str">
        <x:v>total_ead</x:v>
      </x:c>
      <x:c r="G1" s="159" t="str">
        <x:v>portfolio_default_rate</x:v>
      </x:c>
      <x:c r="H1" s="160" t="str">
        <x:v>lift_vs_test_average</x:v>
      </x:c>
    </x:row>
    <x:row r="2">
      <x:c r="A2" s="157" t="n">
        <x:v>1</x:v>
      </x:c>
      <x:c r="B2" s="157" t="n">
        <x:v>1051</x:v>
      </x:c>
      <x:c r="C2" s="157" t="n">
        <x:v>463</x:v>
      </x:c>
      <x:c r="D2" s="162" t="n">
        <x:v>0.44053282588011416</x:v>
      </x:c>
      <x:c r="E2" s="162" t="n">
        <x:v>0.3681746270218839</x:v>
      </x:c>
      <x:c r="F2" s="161" t="n">
        <x:v>2801713615.08</x:v>
      </x:c>
      <x:c r="G2" s="162" t="n">
        <x:v>0.078089735487948</x:v>
      </x:c>
      <x:c r="H2" s="167" t="n">
        <x:v>5.641366603785</x:v>
      </x:c>
    </x:row>
    <x:row r="3">
      <x:c r="A3" s="157" t="n">
        <x:v>2</x:v>
      </x:c>
      <x:c r="B3" s="157" t="n">
        <x:v>912</x:v>
      </x:c>
      <x:c r="C3" s="157" t="n">
        <x:v>172</x:v>
      </x:c>
      <x:c r="D3" s="162" t="n">
        <x:v>0.18859649122807018</x:v>
      </x:c>
      <x:c r="E3" s="162" t="n">
        <x:v>0.2341292269736842</x:v>
      </x:c>
      <x:c r="F3" s="161" t="n">
        <x:v>3076329423.94</x:v>
      </x:c>
      <x:c r="G3" s="162" t="n">
        <x:v>0.078089735487948</x:v>
      </x:c>
      <x:c r="H3" s="167" t="n">
        <x:v>2.4151252408477846</x:v>
      </x:c>
    </x:row>
    <x:row r="4">
      <x:c r="A4" s="157" t="n">
        <x:v>3</x:v>
      </x:c>
      <x:c r="B4" s="157" t="n">
        <x:v>1221</x:v>
      </x:c>
      <x:c r="C4" s="157" t="n">
        <x:v>87</x:v>
      </x:c>
      <x:c r="D4" s="162" t="n">
        <x:v>0.07125307125307126</x:v>
      </x:c>
      <x:c r="E4" s="162" t="n">
        <x:v>0.18977079197379199</x:v>
      </x:c>
      <x:c r="F4" s="161" t="n">
        <x:v>3911456801.4900002</x:v>
      </x:c>
      <x:c r="G4" s="162" t="n">
        <x:v>0.078089735487948</x:v>
      </x:c>
      <x:c r="H4" s="167" t="n">
        <x:v>0.9124511795032028</x:v>
      </x:c>
    </x:row>
    <x:row r="5">
      <x:c r="A5" s="157" t="n">
        <x:v>4</x:v>
      </x:c>
      <x:c r="B5" s="157" t="n">
        <x:v>1162</x:v>
      </x:c>
      <x:c r="C5" s="157" t="n">
        <x:v>43</x:v>
      </x:c>
      <x:c r="D5" s="162" t="n">
        <x:v>0.03700516351118761</x:v>
      </x:c>
      <x:c r="E5" s="162" t="n">
        <x:v>0.1709355748709122</x:v>
      </x:c>
      <x:c r="F5" s="161" t="n">
        <x:v>3832718356.31</x:v>
      </x:c>
      <x:c r="G5" s="162" t="n">
        <x:v>0.078089735487948</x:v>
      </x:c>
      <x:c r="H5" s="167" t="n">
        <x:v>0.4738799956224568</x:v>
      </x:c>
    </x:row>
    <x:row r="6">
      <x:c r="A6" s="157" t="n">
        <x:v>5</x:v>
      </x:c>
      <x:c r="B6" s="157" t="n">
        <x:v>1235</x:v>
      </x:c>
      <x:c r="C6" s="157" t="n">
        <x:v>30</x:v>
      </x:c>
      <x:c r="D6" s="162" t="n">
        <x:v>0.024291497975708502</x:v>
      </x:c>
      <x:c r="E6" s="162" t="n">
        <x:v>0.1559614890688259</x:v>
      </x:c>
      <x:c r="F6" s="161" t="n">
        <x:v>4400936279.21</x:v>
      </x:c>
      <x:c r="G6" s="162" t="n">
        <x:v>0.078089735487948</x:v>
      </x:c>
      <x:c r="H6" s="167" t="n">
        <x:v>0.31107158737216545</x:v>
      </x:c>
    </x:row>
    <x:row r="7">
      <x:c r="A7" s="157" t="n">
        <x:v>6</x:v>
      </x:c>
      <x:c r="B7" s="157" t="n">
        <x:v>1588</x:v>
      </x:c>
      <x:c r="C7" s="157" t="n">
        <x:v>25</x:v>
      </x:c>
      <x:c r="D7" s="162" t="n">
        <x:v>0.015743073047858942</x:v>
      </x:c>
      <x:c r="E7" s="162" t="n">
        <x:v>0.1413252638539043</x:v>
      </x:c>
      <x:c r="F7" s="161" t="n">
        <x:v>5120107349.4</x:v>
      </x:c>
      <x:c r="G7" s="162" t="n">
        <x:v>0.078089735487948</x:v>
      </x:c>
      <x:c r="H7" s="167" t="n">
        <x:v>0.20160233543483644</x:v>
      </x:c>
    </x:row>
    <x:row r="8">
      <x:c r="A8" s="157" t="n">
        <x:v>7</x:v>
      </x:c>
      <x:c r="B8" s="157" t="n">
        <x:v>1743</x:v>
      </x:c>
      <x:c r="C8" s="157" t="n">
        <x:v>19</x:v>
      </x:c>
      <x:c r="D8" s="162" t="n">
        <x:v>0.010900745840504877</x:v>
      </x:c>
      <x:c r="E8" s="162" t="n">
        <x:v>0.12617817613310384</x:v>
      </x:c>
      <x:c r="F8" s="161" t="n">
        <x:v>5887158667.12</x:v>
      </x:c>
      <x:c r="G8" s="162" t="n">
        <x:v>0.078089735487948</x:v>
      </x:c>
      <x:c r="H8" s="167" t="n">
        <x:v>0.13959255685002606</x:v>
      </x:c>
    </x:row>
    <x:row r="9">
      <x:c r="A9" s="157" t="n">
        <x:v>8</x:v>
      </x:c>
      <x:c r="B9" s="157" t="n">
        <x:v>1010</x:v>
      </x:c>
      <x:c r="C9" s="157" t="n">
        <x:v>14</x:v>
      </x:c>
      <x:c r="D9" s="162" t="n">
        <x:v>0.013861386138613862</x:v>
      </x:c>
      <x:c r="E9" s="162" t="n">
        <x:v>0.11260320297029704</x:v>
      </x:c>
      <x:c r="F9" s="161" t="n">
        <x:v>3306251760.83</x:v>
      </x:c>
      <x:c r="G9" s="162" t="n">
        <x:v>0.078089735487948</x:v>
      </x:c>
      <x:c r="H9" s="167" t="n">
        <x:v>0.1775058661935558</x:v>
      </x:c>
    </x:row>
    <x:row r="10">
      <x:c r="A10" s="157" t="n">
        <x:v>9</x:v>
      </x:c>
      <x:c r="B10" s="157" t="n">
        <x:v>798</x:v>
      </x:c>
      <x:c r="C10" s="157" t="n">
        <x:v>9</x:v>
      </x:c>
      <x:c r="D10" s="162" t="n">
        <x:v>0.011278195488721804</x:v>
      </x:c>
      <x:c r="E10" s="162" t="n">
        <x:v>0.09735417794486215</x:v>
      </x:c>
      <x:c r="F10" s="161" t="n">
        <x:v>2537052003.59</x:v>
      </x:c>
      <x:c r="G10" s="162" t="n">
        <x:v>0.078089735487948</x:v>
      </x:c>
      <x:c r="H10" s="167" t="n">
        <x:v>0.1444260941370768</x:v>
      </x:c>
    </x:row>
    <x:row r="11">
      <x:c r="A11" s="157" t="n">
        <x:v>10</x:v>
      </x:c>
      <x:c r="B11" s="157" t="n">
        <x:v>357</x:v>
      </x:c>
      <x:c r="C11" s="157" t="n">
        <x:v>3</x:v>
      </x:c>
      <x:c r="D11" s="162" t="n">
        <x:v>0.008403361344537815</x:v>
      </x:c>
      <x:c r="E11" s="162" t="n">
        <x:v>0.08159717366946778</x:v>
      </x:c>
      <x:c r="F11" s="161" t="n">
        <x:v>1115182060.01</x:v>
      </x:c>
      <x:c r="G11" s="162" t="n">
        <x:v>0.078089735487948</x:v>
      </x:c>
      <x:c r="H11" s="167" t="n">
        <x:v>0.10761159955311604</x:v>
      </x:c>
    </x:row>
  </x:sheetData>
  <x:pageMargins left="0.7" right="0.7" top="0.75" bottom="0.75" header="0.3" footer="0.3"/>
  <x:tableParts count="1">
    <x:tablePart xmlns:r="http://schemas.openxmlformats.org/officeDocument/2006/relationships" r:id="Re418b5cc0e8f461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s="158" t="str">
        <x:v>model_name</x:v>
      </x:c>
      <x:c r="B1" s="159" t="str">
        <x:v>split</x:v>
      </x:c>
      <x:c r="C1" s="159" t="str">
        <x:v>threshold</x:v>
      </x:c>
      <x:c r="D1" s="159" t="str">
        <x:v>precision</x:v>
      </x:c>
      <x:c r="E1" s="159" t="str">
        <x:v>recall</x:v>
      </x:c>
      <x:c r="F1" s="159" t="str">
        <x:v>f1</x:v>
      </x:c>
      <x:c r="G1" s="159" t="str">
        <x:v>specificity</x:v>
      </x:c>
      <x:c r="H1" s="159" t="str">
        <x:v>approval_rate</x:v>
      </x:c>
      <x:c r="I1" s="159" t="str">
        <x:v>true_negative</x:v>
      </x:c>
      <x:c r="J1" s="159" t="str">
        <x:v>false_positive</x:v>
      </x:c>
      <x:c r="K1" s="159" t="str">
        <x:v>false_negative</x:v>
      </x:c>
      <x:c r="L1" s="159" t="str">
        <x:v>true_positive</x:v>
      </x:c>
      <x:c r="M1" s="159" t="str">
        <x:v>default_loss_exposure</x:v>
      </x:c>
      <x:c r="N1" s="159" t="str">
        <x:v>rejected_good_ead</x:v>
      </x:c>
      <x:c r="O1" s="159" t="str">
        <x:v>opportunity_cost_rate_assumption</x:v>
      </x:c>
      <x:c r="P1" s="160" t="str">
        <x:v>total_cost_proxy</x:v>
      </x:c>
      <x:c r="Q1" s="170" t="str">
        <x:v>dynamic_cost_proxy</x:v>
      </x:c>
    </x:row>
    <x:row r="2">
      <x:c r="A2" s="157" t="str">
        <x:v>Calibrated Random Forest</x:v>
      </x:c>
      <x:c r="B2" s="157" t="str">
        <x:v>test</x:v>
      </x:c>
      <x:c r="C2" s="162" t="n">
        <x:v>0.01</x:v>
      </x:c>
      <x:c r="D2" s="162" t="n">
        <x:v>0.078089735487948</x:v>
      </x:c>
      <x:c r="E2" s="162" t="n">
        <x:v>1</x:v>
      </x:c>
      <x:c r="F2" s="162" t="n">
        <x:v>0.1448668564729526</x:v>
      </x:c>
      <x:c r="G2" s="162" t="n">
        <x:v>0</x:v>
      </x:c>
      <x:c r="H2" s="162" t="n">
        <x:v>0</x:v>
      </x:c>
      <x:c r="I2" s="157" t="n">
        <x:v>0</x:v>
      </x:c>
      <x:c r="J2" s="157" t="n">
        <x:v>10212</x:v>
      </x:c>
      <x:c r="K2" s="157" t="n">
        <x:v>0</x:v>
      </x:c>
      <x:c r="L2" s="157" t="n">
        <x:v>865</x:v>
      </x:c>
      <x:c r="M2" s="166" t="n">
        <x:v>0</x:v>
      </x:c>
      <x:c r="N2" s="166" t="n">
        <x:v>33549965490.73</x:v>
      </x:c>
      <x:c r="O2" s="162" t="n">
        <x:v>0.02</x:v>
      </x:c>
      <x:c r="P2" s="166" t="n">
        <x:v>670999309.8146</x:v>
      </x:c>
      <x:c r="Q2" s="171" t="n">
        <x:f>M2+N2*'Threshold Simulator'!$B$7</x:f>
        <x:v>670999309.8146</x:v>
      </x:c>
    </x:row>
    <x:row r="3">
      <x:c r="A3" s="157" t="str">
        <x:v>Calibrated Random Forest</x:v>
      </x:c>
      <x:c r="B3" s="157" t="str">
        <x:v>test</x:v>
      </x:c>
      <x:c r="C3" s="162" t="n">
        <x:v>0.02</x:v>
      </x:c>
      <x:c r="D3" s="162" t="n">
        <x:v>0.078089735487948</x:v>
      </x:c>
      <x:c r="E3" s="162" t="n">
        <x:v>1</x:v>
      </x:c>
      <x:c r="F3" s="162" t="n">
        <x:v>0.1448668564729526</x:v>
      </x:c>
      <x:c r="G3" s="162" t="n">
        <x:v>0</x:v>
      </x:c>
      <x:c r="H3" s="162" t="n">
        <x:v>0</x:v>
      </x:c>
      <x:c r="I3" s="157" t="n">
        <x:v>0</x:v>
      </x:c>
      <x:c r="J3" s="157" t="n">
        <x:v>10212</x:v>
      </x:c>
      <x:c r="K3" s="157" t="n">
        <x:v>0</x:v>
      </x:c>
      <x:c r="L3" s="157" t="n">
        <x:v>865</x:v>
      </x:c>
      <x:c r="M3" s="166" t="n">
        <x:v>0</x:v>
      </x:c>
      <x:c r="N3" s="166" t="n">
        <x:v>33549965490.73</x:v>
      </x:c>
      <x:c r="O3" s="162" t="n">
        <x:v>0.02</x:v>
      </x:c>
      <x:c r="P3" s="166" t="n">
        <x:v>670999309.8146</x:v>
      </x:c>
      <x:c r="Q3" s="171" t="n">
        <x:f>M3+N3*'Threshold Simulator'!$B$7</x:f>
        <x:v>670999309.8146</x:v>
      </x:c>
    </x:row>
    <x:row r="4">
      <x:c r="A4" s="157" t="str">
        <x:v>Calibrated Random Forest</x:v>
      </x:c>
      <x:c r="B4" s="157" t="str">
        <x:v>test</x:v>
      </x:c>
      <x:c r="C4" s="162" t="n">
        <x:v>0.03</x:v>
      </x:c>
      <x:c r="D4" s="162" t="n">
        <x:v>0.078089735487948</x:v>
      </x:c>
      <x:c r="E4" s="162" t="n">
        <x:v>1</x:v>
      </x:c>
      <x:c r="F4" s="162" t="n">
        <x:v>0.1448668564729526</x:v>
      </x:c>
      <x:c r="G4" s="162" t="n">
        <x:v>0</x:v>
      </x:c>
      <x:c r="H4" s="162" t="n">
        <x:v>0</x:v>
      </x:c>
      <x:c r="I4" s="157" t="n">
        <x:v>0</x:v>
      </x:c>
      <x:c r="J4" s="157" t="n">
        <x:v>10212</x:v>
      </x:c>
      <x:c r="K4" s="157" t="n">
        <x:v>0</x:v>
      </x:c>
      <x:c r="L4" s="157" t="n">
        <x:v>865</x:v>
      </x:c>
      <x:c r="M4" s="166" t="n">
        <x:v>0</x:v>
      </x:c>
      <x:c r="N4" s="166" t="n">
        <x:v>33549965490.73</x:v>
      </x:c>
      <x:c r="O4" s="162" t="n">
        <x:v>0.02</x:v>
      </x:c>
      <x:c r="P4" s="166" t="n">
        <x:v>670999309.8146</x:v>
      </x:c>
      <x:c r="Q4" s="171" t="n">
        <x:f>M4+N4*'Threshold Simulator'!$B$7</x:f>
        <x:v>670999309.8146</x:v>
      </x:c>
    </x:row>
    <x:row r="5">
      <x:c r="A5" s="157" t="str">
        <x:v>Calibrated Random Forest</x:v>
      </x:c>
      <x:c r="B5" s="157" t="str">
        <x:v>test</x:v>
      </x:c>
      <x:c r="C5" s="162" t="n">
        <x:v>0.04</x:v>
      </x:c>
      <x:c r="D5" s="162" t="n">
        <x:v>0.078089735487948</x:v>
      </x:c>
      <x:c r="E5" s="162" t="n">
        <x:v>1</x:v>
      </x:c>
      <x:c r="F5" s="162" t="n">
        <x:v>0.1448668564729526</x:v>
      </x:c>
      <x:c r="G5" s="162" t="n">
        <x:v>0</x:v>
      </x:c>
      <x:c r="H5" s="162" t="n">
        <x:v>0</x:v>
      </x:c>
      <x:c r="I5" s="157" t="n">
        <x:v>0</x:v>
      </x:c>
      <x:c r="J5" s="157" t="n">
        <x:v>10212</x:v>
      </x:c>
      <x:c r="K5" s="157" t="n">
        <x:v>0</x:v>
      </x:c>
      <x:c r="L5" s="157" t="n">
        <x:v>865</x:v>
      </x:c>
      <x:c r="M5" s="166" t="n">
        <x:v>0</x:v>
      </x:c>
      <x:c r="N5" s="166" t="n">
        <x:v>33549965490.73</x:v>
      </x:c>
      <x:c r="O5" s="162" t="n">
        <x:v>0.02</x:v>
      </x:c>
      <x:c r="P5" s="166" t="n">
        <x:v>670999309.8146</x:v>
      </x:c>
      <x:c r="Q5" s="171" t="n">
        <x:f>M5+N5*'Threshold Simulator'!$B$7</x:f>
        <x:v>670999309.8146</x:v>
      </x:c>
    </x:row>
    <x:row r="6">
      <x:c r="A6" s="157" t="str">
        <x:v>Calibrated Random Forest</x:v>
      </x:c>
      <x:c r="B6" s="157" t="str">
        <x:v>test</x:v>
      </x:c>
      <x:c r="C6" s="162" t="n">
        <x:v>0.05</x:v>
      </x:c>
      <x:c r="D6" s="162" t="n">
        <x:v>0.078089735487948</x:v>
      </x:c>
      <x:c r="E6" s="162" t="n">
        <x:v>1</x:v>
      </x:c>
      <x:c r="F6" s="162" t="n">
        <x:v>0.1448668564729526</x:v>
      </x:c>
      <x:c r="G6" s="162" t="n">
        <x:v>0</x:v>
      </x:c>
      <x:c r="H6" s="162" t="n">
        <x:v>0</x:v>
      </x:c>
      <x:c r="I6" s="157" t="n">
        <x:v>0</x:v>
      </x:c>
      <x:c r="J6" s="157" t="n">
        <x:v>10212</x:v>
      </x:c>
      <x:c r="K6" s="157" t="n">
        <x:v>0</x:v>
      </x:c>
      <x:c r="L6" s="157" t="n">
        <x:v>865</x:v>
      </x:c>
      <x:c r="M6" s="166" t="n">
        <x:v>0</x:v>
      </x:c>
      <x:c r="N6" s="166" t="n">
        <x:v>33549965490.73</x:v>
      </x:c>
      <x:c r="O6" s="162" t="n">
        <x:v>0.02</x:v>
      </x:c>
      <x:c r="P6" s="166" t="n">
        <x:v>670999309.8146</x:v>
      </x:c>
      <x:c r="Q6" s="171" t="n">
        <x:f>M6+N6*'Threshold Simulator'!$B$7</x:f>
        <x:v>670999309.8146</x:v>
      </x:c>
    </x:row>
    <x:row r="7">
      <x:c r="A7" s="157" t="str">
        <x:v>Calibrated Random Forest</x:v>
      </x:c>
      <x:c r="B7" s="157" t="str">
        <x:v>test</x:v>
      </x:c>
      <x:c r="C7" s="162" t="n">
        <x:v>0.06</x:v>
      </x:c>
      <x:c r="D7" s="162" t="n">
        <x:v>0.078089735487948</x:v>
      </x:c>
      <x:c r="E7" s="162" t="n">
        <x:v>1</x:v>
      </x:c>
      <x:c r="F7" s="162" t="n">
        <x:v>0.1448668564729526</x:v>
      </x:c>
      <x:c r="G7" s="162" t="n">
        <x:v>0</x:v>
      </x:c>
      <x:c r="H7" s="162" t="n">
        <x:v>0</x:v>
      </x:c>
      <x:c r="I7" s="157" t="n">
        <x:v>0</x:v>
      </x:c>
      <x:c r="J7" s="157" t="n">
        <x:v>10212</x:v>
      </x:c>
      <x:c r="K7" s="157" t="n">
        <x:v>0</x:v>
      </x:c>
      <x:c r="L7" s="157" t="n">
        <x:v>865</x:v>
      </x:c>
      <x:c r="M7" s="166" t="n">
        <x:v>0</x:v>
      </x:c>
      <x:c r="N7" s="166" t="n">
        <x:v>33549965490.73</x:v>
      </x:c>
      <x:c r="O7" s="162" t="n">
        <x:v>0.02</x:v>
      </x:c>
      <x:c r="P7" s="166" t="n">
        <x:v>670999309.8146</x:v>
      </x:c>
      <x:c r="Q7" s="171" t="n">
        <x:f>M7+N7*'Threshold Simulator'!$B$7</x:f>
        <x:v>670999309.8146</x:v>
      </x:c>
    </x:row>
    <x:row r="8">
      <x:c r="A8" s="157" t="str">
        <x:v>Calibrated Random Forest</x:v>
      </x:c>
      <x:c r="B8" s="157" t="str">
        <x:v>test</x:v>
      </x:c>
      <x:c r="C8" s="162" t="n">
        <x:v>0.07</x:v>
      </x:c>
      <x:c r="D8" s="162" t="n">
        <x:v>0.078089735487948</x:v>
      </x:c>
      <x:c r="E8" s="162" t="n">
        <x:v>1</x:v>
      </x:c>
      <x:c r="F8" s="162" t="n">
        <x:v>0.1448668564729526</x:v>
      </x:c>
      <x:c r="G8" s="162" t="n">
        <x:v>0</x:v>
      </x:c>
      <x:c r="H8" s="162" t="n">
        <x:v>0</x:v>
      </x:c>
      <x:c r="I8" s="157" t="n">
        <x:v>0</x:v>
      </x:c>
      <x:c r="J8" s="157" t="n">
        <x:v>10212</x:v>
      </x:c>
      <x:c r="K8" s="157" t="n">
        <x:v>0</x:v>
      </x:c>
      <x:c r="L8" s="157" t="n">
        <x:v>865</x:v>
      </x:c>
      <x:c r="M8" s="166" t="n">
        <x:v>0</x:v>
      </x:c>
      <x:c r="N8" s="166" t="n">
        <x:v>33549965490.73</x:v>
      </x:c>
      <x:c r="O8" s="162" t="n">
        <x:v>0.02</x:v>
      </x:c>
      <x:c r="P8" s="166" t="n">
        <x:v>670999309.8146</x:v>
      </x:c>
      <x:c r="Q8" s="171" t="n">
        <x:f>M8+N8*'Threshold Simulator'!$B$7</x:f>
        <x:v>670999309.8146</x:v>
      </x:c>
    </x:row>
    <x:row r="9">
      <x:c r="A9" s="157" t="str">
        <x:v>Calibrated Random Forest</x:v>
      </x:c>
      <x:c r="B9" s="157" t="str">
        <x:v>test</x:v>
      </x:c>
      <x:c r="C9" s="162" t="n">
        <x:v>0.08</x:v>
      </x:c>
      <x:c r="D9" s="162" t="n">
        <x:v>0.0788848263254113</x:v>
      </x:c>
      <x:c r="E9" s="162" t="n">
        <x:v>0.9976878612716764</x:v>
      </x:c>
      <x:c r="F9" s="162" t="n">
        <x:v>0.1462092333756882</x:v>
      </x:c>
      <x:c r="G9" s="162" t="n">
        <x:v>0.013219741480611</x:v>
      </x:c>
      <x:c r="H9" s="162" t="n">
        <x:v>0.0123679696668773</x:v>
      </x:c>
      <x:c r="I9" s="157" t="n">
        <x:v>135</x:v>
      </x:c>
      <x:c r="J9" s="157" t="n">
        <x:v>10077</x:v>
      </x:c>
      <x:c r="K9" s="157" t="n">
        <x:v>2</x:v>
      </x:c>
      <x:c r="L9" s="157" t="n">
        <x:v>863</x:v>
      </x:c>
      <x:c r="M9" s="166" t="n">
        <x:v>1022401.3535989998</x:v>
      </x:c>
      <x:c r="N9" s="166" t="n">
        <x:v>33154869459.1</x:v>
      </x:c>
      <x:c r="O9" s="162" t="n">
        <x:v>0.02</x:v>
      </x:c>
      <x:c r="P9" s="166" t="n">
        <x:v>664119790.535599</x:v>
      </x:c>
      <x:c r="Q9" s="171" t="n">
        <x:f>M9+N9*'Threshold Simulator'!$B$7</x:f>
        <x:v>664119790.535599</x:v>
      </x:c>
    </x:row>
    <x:row r="10">
      <x:c r="A10" s="157" t="str">
        <x:v>Calibrated Random Forest</x:v>
      </x:c>
      <x:c r="B10" s="157" t="str">
        <x:v>test</x:v>
      </x:c>
      <x:c r="C10" s="162" t="n">
        <x:v>0.09</x:v>
      </x:c>
      <x:c r="D10" s="162" t="n">
        <x:v>0.0809389671361502</x:v>
      </x:c>
      <x:c r="E10" s="162" t="n">
        <x:v>0.9965317919075144</x:v>
      </x:c>
      <x:c r="F10" s="162" t="n">
        <x:v>0.1497177594442032</x:v>
      </x:c>
      <x:c r="G10" s="162" t="n">
        <x:v>0.0415197806502154</x:v>
      </x:c>
      <x:c r="H10" s="162" t="n">
        <x:v>0.0385483434142818</x:v>
      </x:c>
      <x:c r="I10" s="157" t="n">
        <x:v>424</x:v>
      </x:c>
      <x:c r="J10" s="157" t="n">
        <x:v>9788</x:v>
      </x:c>
      <x:c r="K10" s="157" t="n">
        <x:v>3</x:v>
      </x:c>
      <x:c r="L10" s="157" t="n">
        <x:v>862</x:v>
      </x:c>
      <x:c r="M10" s="166" t="n">
        <x:v>1190617.9465569998</x:v>
      </x:c>
      <x:c r="N10" s="166" t="n">
        <x:v>32199880108.800003</x:v>
      </x:c>
      <x:c r="O10" s="162" t="n">
        <x:v>0.02</x:v>
      </x:c>
      <x:c r="P10" s="166" t="n">
        <x:v>645188220.1225572</x:v>
      </x:c>
      <x:c r="Q10" s="171" t="n">
        <x:f>M10+N10*'Threshold Simulator'!$B$7</x:f>
        <x:v>645188220.1225572</x:v>
      </x:c>
    </x:row>
    <x:row r="11">
      <x:c r="A11" s="157" t="str">
        <x:v>Calibrated Random Forest</x:v>
      </x:c>
      <x:c r="B11" s="157" t="str">
        <x:v>test</x:v>
      </x:c>
      <x:c r="C11" s="162" t="n">
        <x:v>0.1</x:v>
      </x:c>
      <x:c r="D11" s="162" t="n">
        <x:v>0.0840270296738811</x:v>
      </x:c>
      <x:c r="E11" s="162" t="n">
        <x:v>0.991907514450867</x:v>
      </x:c>
      <x:c r="F11" s="162" t="n">
        <x:v>0.1549295774647887</x:v>
      </x:c>
      <x:c r="G11" s="162" t="n">
        <x:v>0.0841167254210732</x:v>
      </x:c>
      <x:c r="H11" s="162" t="n">
        <x:v>0.0781800126388011</x:v>
      </x:c>
      <x:c r="I11" s="157" t="n">
        <x:v>859</x:v>
      </x:c>
      <x:c r="J11" s="157" t="n">
        <x:v>9353</x:v>
      </x:c>
      <x:c r="K11" s="157" t="n">
        <x:v>7</x:v>
      </x:c>
      <x:c r="L11" s="157" t="n">
        <x:v>858</x:v>
      </x:c>
      <x:c r="M11" s="166" t="n">
        <x:v>2730962.498709</x:v>
      </x:c>
      <x:c r="N11" s="166" t="n">
        <x:v>30841245719.31</x:v>
      </x:c>
      <x:c r="O11" s="162" t="n">
        <x:v>0.02</x:v>
      </x:c>
      <x:c r="P11" s="166" t="n">
        <x:v>619555876.884909</x:v>
      </x:c>
      <x:c r="Q11" s="171" t="n">
        <x:f>M11+N11*'Threshold Simulator'!$B$7</x:f>
        <x:v>619555876.884909</x:v>
      </x:c>
    </x:row>
    <x:row r="12">
      <x:c r="A12" s="157" t="str">
        <x:v>Calibrated Random Forest</x:v>
      </x:c>
      <x:c r="B12" s="157" t="str">
        <x:v>test</x:v>
      </x:c>
      <x:c r="C12" s="162" t="n">
        <x:v>0.11</x:v>
      </x:c>
      <x:c r="D12" s="162" t="n">
        <x:v>0.0878357357668775</x:v>
      </x:c>
      <x:c r="E12" s="162" t="n">
        <x:v>0.9791907514450868</x:v>
      </x:c>
      <x:c r="F12" s="162" t="n">
        <x:v>0.1612105062809288</x:v>
      </x:c>
      <x:c r="G12" s="162" t="n">
        <x:v>0.1386603995299647</x:v>
      </x:c>
      <x:c r="H12" s="162" t="n">
        <x:v>0.1294574343233727</x:v>
      </x:c>
      <x:c r="I12" s="157" t="n">
        <x:v>1416</x:v>
      </x:c>
      <x:c r="J12" s="157" t="n">
        <x:v>8796</x:v>
      </x:c>
      <x:c r="K12" s="157" t="n">
        <x:v>18</x:v>
      </x:c>
      <x:c r="L12" s="157" t="n">
        <x:v>847</x:v>
      </x:c>
      <x:c r="M12" s="166" t="n">
        <x:v>15569220.108206</x:v>
      </x:c>
      <x:c r="N12" s="166" t="n">
        <x:v>29147797603.83</x:v>
      </x:c>
      <x:c r="O12" s="162" t="n">
        <x:v>0.02</x:v>
      </x:c>
      <x:c r="P12" s="166" t="n">
        <x:v>598525172.1848061</x:v>
      </x:c>
      <x:c r="Q12" s="171" t="n">
        <x:f>M12+N12*'Threshold Simulator'!$B$7</x:f>
        <x:v>598525172.1848061</x:v>
      </x:c>
    </x:row>
    <x:row r="13">
      <x:c r="A13" s="157" t="str">
        <x:v>Calibrated Random Forest</x:v>
      </x:c>
      <x:c r="B13" s="157" t="str">
        <x:v>test</x:v>
      </x:c>
      <x:c r="C13" s="162" t="n">
        <x:v>0.12</x:v>
      </x:c>
      <x:c r="D13" s="162" t="n">
        <x:v>0.0957178841309823</x:v>
      </x:c>
      <x:c r="E13" s="162" t="n">
        <x:v>0.9664739884393064</x:v>
      </x:c>
      <x:c r="F13" s="162" t="n">
        <x:v>0.1741848109178039</x:v>
      </x:c>
      <x:c r="G13" s="162" t="n">
        <x:v>0.22659616137877</x:v>
      </x:c>
      <x:c r="H13" s="162" t="n">
        <x:v>0.211519364448858</x:v>
      </x:c>
      <x:c r="I13" s="157" t="n">
        <x:v>2314</x:v>
      </x:c>
      <x:c r="J13" s="157" t="n">
        <x:v>7898</x:v>
      </x:c>
      <x:c r="K13" s="157" t="n">
        <x:v>29</x:v>
      </x:c>
      <x:c r="L13" s="157" t="n">
        <x:v>836</x:v>
      </x:c>
      <x:c r="M13" s="166" t="n">
        <x:v>27492419.378749005</x:v>
      </x:c>
      <x:c r="N13" s="166" t="n">
        <x:v>26061907084.54</x:v>
      </x:c>
      <x:c r="O13" s="162" t="n">
        <x:v>0.02</x:v>
      </x:c>
      <x:c r="P13" s="166" t="n">
        <x:v>548730561.069549</x:v>
      </x:c>
      <x:c r="Q13" s="171" t="n">
        <x:f>M13+N13*'Threshold Simulator'!$B$7</x:f>
        <x:v>548730561.069549</x:v>
      </x:c>
    </x:row>
    <x:row r="14">
      <x:c r="A14" s="157" t="str">
        <x:v>Calibrated Random Forest</x:v>
      </x:c>
      <x:c r="B14" s="157" t="str">
        <x:v>test</x:v>
      </x:c>
      <x:c r="C14" s="162" t="n">
        <x:v>0.13</x:v>
      </x:c>
      <x:c r="D14" s="162" t="n">
        <x:v>0.1084527408965426</x:v>
      </x:c>
      <x:c r="E14" s="162" t="n">
        <x:v>0.953757225433526</x:v>
      </x:c>
      <x:c r="F14" s="162" t="n">
        <x:v>0.1947592067988668</x:v>
      </x:c>
      <x:c r="G14" s="162" t="n">
        <x:v>0.335879357618488</x:v>
      </x:c>
      <x:c r="H14" s="162" t="n">
        <x:v>0.3132617134603231</x:v>
      </x:c>
      <x:c r="I14" s="157" t="n">
        <x:v>3430</x:v>
      </x:c>
      <x:c r="J14" s="157" t="n">
        <x:v>6782</x:v>
      </x:c>
      <x:c r="K14" s="157" t="n">
        <x:v>40</x:v>
      </x:c>
      <x:c r="L14" s="157" t="n">
        <x:v>825</x:v>
      </x:c>
      <x:c r="M14" s="166" t="n">
        <x:v>53945314.98556</x:v>
      </x:c>
      <x:c r="N14" s="166" t="n">
        <x:v>22409864589.48</x:v>
      </x:c>
      <x:c r="O14" s="162" t="n">
        <x:v>0.02</x:v>
      </x:c>
      <x:c r="P14" s="166" t="n">
        <x:v>502142606.77516</x:v>
      </x:c>
      <x:c r="Q14" s="171" t="n">
        <x:f>M14+N14*'Threshold Simulator'!$B$7</x:f>
        <x:v>502142606.77516</x:v>
      </x:c>
    </x:row>
    <x:row r="15">
      <x:c r="A15" s="157" t="str">
        <x:v>Calibrated Random Forest</x:v>
      </x:c>
      <x:c r="B15" s="157" t="str">
        <x:v>test</x:v>
      </x:c>
      <x:c r="C15" s="162" t="n">
        <x:v>0.14</x:v>
      </x:c>
      <x:c r="D15" s="162" t="n">
        <x:v>0.1243857493857493</x:v>
      </x:c>
      <x:c r="E15" s="162" t="n">
        <x:v>0.9364161849710982</x:v>
      </x:c>
      <x:c r="F15" s="162" t="n">
        <x:v>0.21960146400976</x:v>
      </x:c>
      <x:c r="G15" s="162" t="n">
        <x:v>0.4416372894633764</x:v>
      </x:c>
      <x:c r="H15" s="162" t="n">
        <x:v>0.4121151936444885</x:v>
      </x:c>
      <x:c r="I15" s="157" t="n">
        <x:v>4510</x:v>
      </x:c>
      <x:c r="J15" s="157" t="n">
        <x:v>5702</x:v>
      </x:c>
      <x:c r="K15" s="157" t="n">
        <x:v>55</x:v>
      </x:c>
      <x:c r="L15" s="157" t="n">
        <x:v>810</x:v>
      </x:c>
      <x:c r="M15" s="166" t="n">
        <x:v>88884688.60057001</x:v>
      </x:c>
      <x:c r="N15" s="166" t="n">
        <x:v>18513336488.39</x:v>
      </x:c>
      <x:c r="O15" s="162" t="n">
        <x:v>0.02</x:v>
      </x:c>
      <x:c r="P15" s="166" t="n">
        <x:v>459151418.36837</x:v>
      </x:c>
      <x:c r="Q15" s="171" t="n">
        <x:f>M15+N15*'Threshold Simulator'!$B$7</x:f>
        <x:v>459151418.36837</x:v>
      </x:c>
    </x:row>
    <x:row r="16">
      <x:c r="A16" s="157" t="str">
        <x:v>Calibrated Random Forest</x:v>
      </x:c>
      <x:c r="B16" s="157" t="str">
        <x:v>test</x:v>
      </x:c>
      <x:c r="C16" s="162" t="n">
        <x:v>0.15</x:v>
      </x:c>
      <x:c r="D16" s="162" t="n">
        <x:v>0.1441556080712597</x:v>
      </x:c>
      <x:c r="E16" s="162" t="n">
        <x:v>0.9167630057803468</x:v>
      </x:c>
      <x:c r="F16" s="162" t="n">
        <x:v>0.2491360351869305</x:v>
      </x:c>
      <x:c r="G16" s="162" t="n">
        <x:v>0.5389737563650607</x:v>
      </x:c>
      <x:c r="H16" s="162" t="n">
        <x:v>0.503385393156992</x:v>
      </x:c>
      <x:c r="I16" s="157" t="n">
        <x:v>5504</x:v>
      </x:c>
      <x:c r="J16" s="157" t="n">
        <x:v>4708</x:v>
      </x:c>
      <x:c r="K16" s="157" t="n">
        <x:v>72</x:v>
      </x:c>
      <x:c r="L16" s="157" t="n">
        <x:v>793</x:v>
      </x:c>
      <x:c r="M16" s="166" t="n">
        <x:v>108529728.533243</x:v>
      </x:c>
      <x:c r="N16" s="166" t="n">
        <x:v>15563762632.25</x:v>
      </x:c>
      <x:c r="O16" s="162" t="n">
        <x:v>0.02</x:v>
      </x:c>
      <x:c r="P16" s="166" t="n">
        <x:v>419804981.178243</x:v>
      </x:c>
      <x:c r="Q16" s="171" t="n">
        <x:f>M16+N16*'Threshold Simulator'!$B$7</x:f>
        <x:v>419804981.178243</x:v>
      </x:c>
    </x:row>
    <x:row r="17">
      <x:c r="A17" s="157" t="str">
        <x:v>Calibrated Random Forest</x:v>
      </x:c>
      <x:c r="B17" s="157" t="str">
        <x:v>test</x:v>
      </x:c>
      <x:c r="C17" s="162" t="n">
        <x:v>0.16</x:v>
      </x:c>
      <x:c r="D17" s="162" t="n">
        <x:v>0.1678579163959281</x:v>
      </x:c>
      <x:c r="E17" s="162" t="n">
        <x:v>0.8959537572254336</x:v>
      </x:c>
      <x:c r="F17" s="162" t="n">
        <x:v>0.2827435242612185</x:v>
      </x:c>
      <x:c r="G17" s="162" t="n">
        <x:v>0.6237759498629064</x:v>
      </x:c>
      <x:c r="H17" s="162" t="n">
        <x:v>0.5831903945111492</x:v>
      </x:c>
      <x:c r="I17" s="157" t="n">
        <x:v>6370</x:v>
      </x:c>
      <x:c r="J17" s="157" t="n">
        <x:v>3842</x:v>
      </x:c>
      <x:c r="K17" s="157" t="n">
        <x:v>90</x:v>
      </x:c>
      <x:c r="L17" s="157" t="n">
        <x:v>775</x:v>
      </x:c>
      <x:c r="M17" s="166" t="n">
        <x:v>140235623.387224</x:v>
      </x:c>
      <x:c r="N17" s="166" t="n">
        <x:v>12598379561.95</x:v>
      </x:c>
      <x:c r="O17" s="162" t="n">
        <x:v>0.02</x:v>
      </x:c>
      <x:c r="P17" s="166" t="n">
        <x:v>392203214.626224</x:v>
      </x:c>
      <x:c r="Q17" s="171" t="n">
        <x:f>M17+N17*'Threshold Simulator'!$B$7</x:f>
        <x:v>392203214.62622404</x:v>
      </x:c>
    </x:row>
    <x:row r="18">
      <x:c r="A18" s="157" t="str">
        <x:v>Calibrated Random Forest</x:v>
      </x:c>
      <x:c r="B18" s="157" t="str">
        <x:v>test</x:v>
      </x:c>
      <x:c r="C18" s="162" t="n">
        <x:v>0.17</x:v>
      </x:c>
      <x:c r="D18" s="162" t="n">
        <x:v>0.1982194291699398</x:v>
      </x:c>
      <x:c r="E18" s="162" t="n">
        <x:v>0.8751445086705202</x:v>
      </x:c>
      <x:c r="F18" s="162" t="n">
        <x:v>0.3232280102476516</x:v>
      </x:c>
      <x:c r="G18" s="162" t="n">
        <x:v>0.700156678417548</x:v>
      </x:c>
      <x:c r="H18" s="162" t="n">
        <x:v>0.6552315608919382</x:v>
      </x:c>
      <x:c r="I18" s="157" t="n">
        <x:v>7150</x:v>
      </x:c>
      <x:c r="J18" s="157" t="n">
        <x:v>3062</x:v>
      </x:c>
      <x:c r="K18" s="157" t="n">
        <x:v>108</x:v>
      </x:c>
      <x:c r="L18" s="157" t="n">
        <x:v>757</x:v>
      </x:c>
      <x:c r="M18" s="166" t="n">
        <x:v>176559725.55765104</x:v>
      </x:c>
      <x:c r="N18" s="166" t="n">
        <x:v>9818210645.03</x:v>
      </x:c>
      <x:c r="O18" s="162" t="n">
        <x:v>0.02</x:v>
      </x:c>
      <x:c r="P18" s="166" t="n">
        <x:v>372923938.458251</x:v>
      </x:c>
      <x:c r="Q18" s="171" t="n">
        <x:f>M18+N18*'Threshold Simulator'!$B$7</x:f>
        <x:v>372923938.45825106</x:v>
      </x:c>
    </x:row>
    <x:row r="19">
      <x:c r="A19" s="157" t="str">
        <x:v>Calibrated Random Forest</x:v>
      </x:c>
      <x:c r="B19" s="157" t="str">
        <x:v>test</x:v>
      </x:c>
      <x:c r="C19" s="162" t="n">
        <x:v>0.18</x:v>
      </x:c>
      <x:c r="D19" s="162" t="n">
        <x:v>0.2290804963410754</x:v>
      </x:c>
      <x:c r="E19" s="162" t="n">
        <x:v>0.8323699421965318</x:v>
      </x:c>
      <x:c r="F19" s="162" t="n">
        <x:v>0.3592814371257485</x:v>
      </x:c>
      <x:c r="G19" s="162" t="n">
        <x:v>0.7627301214257736</x:v>
      </x:c>
      <x:c r="H19" s="162" t="n">
        <x:v>0.7162589148686467</x:v>
      </x:c>
      <x:c r="I19" s="157" t="n">
        <x:v>7789</x:v>
      </x:c>
      <x:c r="J19" s="157" t="n">
        <x:v>2423</x:v>
      </x:c>
      <x:c r="K19" s="157" t="n">
        <x:v>145</x:v>
      </x:c>
      <x:c r="L19" s="157" t="n">
        <x:v>720</x:v>
      </x:c>
      <x:c r="M19" s="166" t="n">
        <x:v>260921715.16735703</x:v>
      </x:c>
      <x:c r="N19" s="166" t="n">
        <x:v>7716120905.26</x:v>
      </x:c>
      <x:c r="O19" s="162" t="n">
        <x:v>0.02</x:v>
      </x:c>
      <x:c r="P19" s="166" t="n">
        <x:v>415244133.272557</x:v>
      </x:c>
      <x:c r="Q19" s="171" t="n">
        <x:f>M19+N19*'Threshold Simulator'!$B$7</x:f>
        <x:v>415244133.272557</x:v>
      </x:c>
    </x:row>
    <x:row r="20">
      <x:c r="A20" s="157" t="str">
        <x:v>Calibrated Random Forest</x:v>
      </x:c>
      <x:c r="B20" s="157" t="str">
        <x:v>test</x:v>
      </x:c>
      <x:c r="C20" s="162" t="n">
        <x:v>0.19</x:v>
      </x:c>
      <x:c r="D20" s="162" t="n">
        <x:v>0.2720063441712926</x:v>
      </x:c>
      <x:c r="E20" s="162" t="n">
        <x:v>0.793063583815029</x:v>
      </x:c>
      <x:c r="F20" s="162" t="n">
        <x:v>0.4050782403306761</x:v>
      </x:c>
      <x:c r="G20" s="162" t="n">
        <x:v>0.8202115158636898</x:v>
      </x:c>
      <x:c r="H20" s="162" t="n">
        <x:v>0.7723210255484336</x:v>
      </x:c>
      <x:c r="I20" s="157" t="n">
        <x:v>8376</x:v>
      </x:c>
      <x:c r="J20" s="157" t="n">
        <x:v>1836</x:v>
      </x:c>
      <x:c r="K20" s="157" t="n">
        <x:v>179</x:v>
      </x:c>
      <x:c r="L20" s="157" t="n">
        <x:v>686</x:v>
      </x:c>
      <x:c r="M20" s="166" t="n">
        <x:v>311100058.427111</x:v>
      </x:c>
      <x:c r="N20" s="166" t="n">
        <x:v>5782558007.700001</x:v>
      </x:c>
      <x:c r="O20" s="162" t="n">
        <x:v>0.02</x:v>
      </x:c>
      <x:c r="P20" s="166" t="n">
        <x:v>426751218.5811111</x:v>
      </x:c>
      <x:c r="Q20" s="171" t="n">
        <x:f>M20+N20*'Threshold Simulator'!$B$7</x:f>
        <x:v>426751218.5811111</x:v>
      </x:c>
    </x:row>
    <x:row r="21">
      <x:c r="A21" s="157" t="str">
        <x:v>Calibrated Random Forest</x:v>
      </x:c>
      <x:c r="B21" s="157" t="str">
        <x:v>test</x:v>
      </x:c>
      <x:c r="C21" s="162" t="n">
        <x:v>0.2</x:v>
      </x:c>
      <x:c r="D21" s="162" t="n">
        <x:v>0.3128893148059415</x:v>
      </x:c>
      <x:c r="E21" s="162" t="n">
        <x:v>0.7549132947976879</x:v>
      </x:c>
      <x:c r="F21" s="162" t="n">
        <x:v>0.4424119241192412</x:v>
      </x:c>
      <x:c r="G21" s="162" t="n">
        <x:v>0.8595769682726204</x:v>
      </x:c>
      <x:c r="H21" s="162" t="n">
        <x:v>0.8115915861695405</x:v>
      </x:c>
      <x:c r="I21" s="157" t="n">
        <x:v>8778</x:v>
      </x:c>
      <x:c r="J21" s="157" t="n">
        <x:v>1434</x:v>
      </x:c>
      <x:c r="K21" s="157" t="n">
        <x:v>212</x:v>
      </x:c>
      <x:c r="L21" s="157" t="n">
        <x:v>653</x:v>
      </x:c>
      <x:c r="M21" s="166" t="n">
        <x:v>383345077.773834</x:v>
      </x:c>
      <x:c r="N21" s="166" t="n">
        <x:v>4479544615.599999</x:v>
      </x:c>
      <x:c r="O21" s="162" t="n">
        <x:v>0.02</x:v>
      </x:c>
      <x:c r="P21" s="166" t="n">
        <x:v>472935970.085834</x:v>
      </x:c>
      <x:c r="Q21" s="171" t="n">
        <x:f>M21+N21*'Threshold Simulator'!$B$7</x:f>
        <x:v>472935970.08583397</x:v>
      </x:c>
    </x:row>
    <x:row r="22">
      <x:c r="A22" s="157" t="str">
        <x:v>Calibrated Random Forest</x:v>
      </x:c>
      <x:c r="B22" s="157" t="str">
        <x:v>test</x:v>
      </x:c>
      <x:c r="C22" s="162" t="n">
        <x:v>0.21</x:v>
      </x:c>
      <x:c r="D22" s="162" t="n">
        <x:v>0.3389737991266375</x:v>
      </x:c>
      <x:c r="E22" s="162" t="n">
        <x:v>0.7179190751445087</x:v>
      </x:c>
      <x:c r="F22" s="162" t="n">
        <x:v>0.4605116796440489</x:v>
      </x:c>
      <x:c r="G22" s="162" t="n">
        <x:v>0.8814140227183705</x:v>
      </x:c>
      <x:c r="H22" s="162" t="n">
        <x:v>0.8346122596370859</x:v>
      </x:c>
      <x:c r="I22" s="157" t="n">
        <x:v>9001</x:v>
      </x:c>
      <x:c r="J22" s="157" t="n">
        <x:v>1211</x:v>
      </x:c>
      <x:c r="K22" s="157" t="n">
        <x:v>244</x:v>
      </x:c>
      <x:c r="L22" s="157" t="n">
        <x:v>621</x:v>
      </x:c>
      <x:c r="M22" s="166" t="n">
        <x:v>439542315.5548</x:v>
      </x:c>
      <x:c r="N22" s="166" t="n">
        <x:v>3826729373.34</x:v>
      </x:c>
      <x:c r="O22" s="162" t="n">
        <x:v>0.02</x:v>
      </x:c>
      <x:c r="P22" s="166" t="n">
        <x:v>516076903.0216</x:v>
      </x:c>
      <x:c r="Q22" s="171" t="n">
        <x:f>M22+N22*'Threshold Simulator'!$B$7</x:f>
        <x:v>516076903.0216</x:v>
      </x:c>
    </x:row>
    <x:row r="23">
      <x:c r="A23" s="157" t="str">
        <x:v>Calibrated Random Forest</x:v>
      </x:c>
      <x:c r="B23" s="157" t="str">
        <x:v>test</x:v>
      </x:c>
      <x:c r="C23" s="162" t="n">
        <x:v>0.22</x:v>
      </x:c>
      <x:c r="D23" s="162" t="n">
        <x:v>0.3527679623085983</x:v>
      </x:c>
      <x:c r="E23" s="162" t="n">
        <x:v>0.692485549132948</x:v>
      </x:c>
      <x:c r="F23" s="162" t="n">
        <x:v>0.4674209910261412</x:v>
      </x:c>
      <x:c r="G23" s="162" t="n">
        <x:v>0.8923815119467293</x:v>
      </x:c>
      <x:c r="H23" s="162" t="n">
        <x:v>0.8467093978514038</x:v>
      </x:c>
      <x:c r="I23" s="157" t="n">
        <x:v>9113</x:v>
      </x:c>
      <x:c r="J23" s="157" t="n">
        <x:v>1099</x:v>
      </x:c>
      <x:c r="K23" s="157" t="n">
        <x:v>266</x:v>
      </x:c>
      <x:c r="L23" s="157" t="n">
        <x:v>599</x:v>
      </x:c>
      <x:c r="M23" s="166" t="n">
        <x:v>474018404.992279</x:v>
      </x:c>
      <x:c r="N23" s="166" t="n">
        <x:v>3448802368.51</x:v>
      </x:c>
      <x:c r="O23" s="162" t="n">
        <x:v>0.02</x:v>
      </x:c>
      <x:c r="P23" s="166" t="n">
        <x:v>542994452.362479</x:v>
      </x:c>
      <x:c r="Q23" s="171" t="n">
        <x:f>M23+N23*'Threshold Simulator'!$B$7</x:f>
        <x:v>542994452.362479</x:v>
      </x:c>
    </x:row>
    <x:row r="24">
      <x:c r="A24" s="157" t="str">
        <x:v>Calibrated Random Forest</x:v>
      </x:c>
      <x:c r="B24" s="157" t="str">
        <x:v>test</x:v>
      </x:c>
      <x:c r="C24" s="162" t="n">
        <x:v>0.23</x:v>
      </x:c>
      <x:c r="D24" s="162" t="n">
        <x:v>0.3648562300319489</x:v>
      </x:c>
      <x:c r="E24" s="162" t="n">
        <x:v>0.6601156069364161</x:v>
      </x:c>
      <x:c r="F24" s="162" t="n">
        <x:v>0.4699588477366255</x:v>
      </x:c>
      <x:c r="G24" s="162" t="n">
        <x:v>0.9026635330983156</x:v>
      </x:c>
      <x:c r="H24" s="162" t="n">
        <x:v>0.8587162589148687</x:v>
      </x:c>
      <x:c r="I24" s="157" t="n">
        <x:v>9218</x:v>
      </x:c>
      <x:c r="J24" s="157" t="n">
        <x:v>994</x:v>
      </x:c>
      <x:c r="K24" s="157" t="n">
        <x:v>294</x:v>
      </x:c>
      <x:c r="L24" s="157" t="n">
        <x:v>571</x:v>
      </x:c>
      <x:c r="M24" s="166" t="n">
        <x:v>508208253.124454</x:v>
      </x:c>
      <x:c r="N24" s="166" t="n">
        <x:v>3081582318.83</x:v>
      </x:c>
      <x:c r="O24" s="162" t="n">
        <x:v>0.02</x:v>
      </x:c>
      <x:c r="P24" s="166" t="n">
        <x:v>569839899.501054</x:v>
      </x:c>
      <x:c r="Q24" s="171" t="n">
        <x:f>M24+N24*'Threshold Simulator'!$B$7</x:f>
        <x:v>569839899.501054</x:v>
      </x:c>
    </x:row>
    <x:row r="25">
      <x:c r="A25" s="157" t="str">
        <x:v>Calibrated Random Forest</x:v>
      </x:c>
      <x:c r="B25" s="157" t="str">
        <x:v>test</x:v>
      </x:c>
      <x:c r="C25" s="162" t="n">
        <x:v>0.24</x:v>
      </x:c>
      <x:c r="D25" s="162" t="n">
        <x:v>0.3855932203389831</x:v>
      </x:c>
      <x:c r="E25" s="162" t="n">
        <x:v>0.63121387283237</x:v>
      </x:c>
      <x:c r="F25" s="162" t="n">
        <x:v>0.4787373958790004</x:v>
      </x:c>
      <x:c r="G25" s="162" t="n">
        <x:v>0.9148061104582844</x:v>
      </x:c>
      <x:c r="H25" s="162" t="n">
        <x:v>0.8721675543919833</x:v>
      </x:c>
      <x:c r="I25" s="157" t="n">
        <x:v>9342</x:v>
      </x:c>
      <x:c r="J25" s="157" t="n">
        <x:v>870</x:v>
      </x:c>
      <x:c r="K25" s="157" t="n">
        <x:v>319</x:v>
      </x:c>
      <x:c r="L25" s="157" t="n">
        <x:v>546</x:v>
      </x:c>
      <x:c r="M25" s="166" t="n">
        <x:v>525358900.59069496</x:v>
      </x:c>
      <x:c r="N25" s="166" t="n">
        <x:v>2701052542</x:v>
      </x:c>
      <x:c r="O25" s="162" t="n">
        <x:v>0.02</x:v>
      </x:c>
      <x:c r="P25" s="166" t="n">
        <x:v>579379951.4306949</x:v>
      </x:c>
      <x:c r="Q25" s="171" t="n">
        <x:f>M25+N25*'Threshold Simulator'!$B$7</x:f>
        <x:v>579379951.4306949</x:v>
      </x:c>
    </x:row>
    <x:row r="26">
      <x:c r="A26" s="157" t="str">
        <x:v>Calibrated Random Forest</x:v>
      </x:c>
      <x:c r="B26" s="157" t="str">
        <x:v>test</x:v>
      </x:c>
      <x:c r="C26" s="162" t="n">
        <x:v>0.25</x:v>
      </x:c>
      <x:c r="D26" s="162" t="n">
        <x:v>0.4045206547155105</x:v>
      </x:c>
      <x:c r="E26" s="162" t="n">
        <x:v>0.6</x:v>
      </x:c>
      <x:c r="F26" s="162" t="n">
        <x:v>0.4832402234636871</x:v>
      </x:c>
      <x:c r="G26" s="162" t="n">
        <x:v>0.9251860556208382</x:v>
      </x:c>
      <x:c r="H26" s="162" t="n">
        <x:v>0.8841744154554483</x:v>
      </x:c>
      <x:c r="I26" s="157" t="n">
        <x:v>9448</x:v>
      </x:c>
      <x:c r="J26" s="157" t="n">
        <x:v>764</x:v>
      </x:c>
      <x:c r="K26" s="157" t="n">
        <x:v>346</x:v>
      </x:c>
      <x:c r="L26" s="157" t="n">
        <x:v>519</x:v>
      </x:c>
      <x:c r="M26" s="166" t="n">
        <x:v>559092097.750237</x:v>
      </x:c>
      <x:c r="N26" s="166" t="n">
        <x:v>2166310087.05</x:v>
      </x:c>
      <x:c r="O26" s="162" t="n">
        <x:v>0.02</x:v>
      </x:c>
      <x:c r="P26" s="166" t="n">
        <x:v>602418299.491237</x:v>
      </x:c>
      <x:c r="Q26" s="171" t="n">
        <x:f>M26+N26*'Threshold Simulator'!$B$7</x:f>
        <x:v>602418299.491237</x:v>
      </x:c>
    </x:row>
    <x:row r="27">
      <x:c r="A27" s="157" t="str">
        <x:v>Calibrated Random Forest</x:v>
      </x:c>
      <x:c r="B27" s="157" t="str">
        <x:v>test</x:v>
      </x:c>
      <x:c r="C27" s="162" t="n">
        <x:v>0.26</x:v>
      </x:c>
      <x:c r="D27" s="162" t="n">
        <x:v>0.4179620034542314</x:v>
      </x:c>
      <x:c r="E27" s="162" t="n">
        <x:v>0.5595375722543353</x:v>
      </x:c>
      <x:c r="F27" s="162" t="n">
        <x:v>0.4784972812654474</x:v>
      </x:c>
      <x:c r="G27" s="162" t="n">
        <x:v>0.9339992166079124</x:v>
      </x:c>
      <x:c r="H27" s="162" t="n">
        <x:v>0.8954590593120881</x:v>
      </x:c>
      <x:c r="I27" s="157" t="n">
        <x:v>9538</x:v>
      </x:c>
      <x:c r="J27" s="157" t="n">
        <x:v>674</x:v>
      </x:c>
      <x:c r="K27" s="157" t="n">
        <x:v>381</x:v>
      </x:c>
      <x:c r="L27" s="157" t="n">
        <x:v>484</x:v>
      </x:c>
      <x:c r="M27" s="166" t="n">
        <x:v>638720082.87211</x:v>
      </x:c>
      <x:c r="N27" s="166" t="n">
        <x:v>1819153965.74</x:v>
      </x:c>
      <x:c r="O27" s="162" t="n">
        <x:v>0.02</x:v>
      </x:c>
      <x:c r="P27" s="166" t="n">
        <x:v>675103162.18691</x:v>
      </x:c>
      <x:c r="Q27" s="171" t="n">
        <x:f>M27+N27*'Threshold Simulator'!$B$7</x:f>
        <x:v>675103162.18691</x:v>
      </x:c>
    </x:row>
    <x:row r="28">
      <x:c r="A28" s="157" t="str">
        <x:v>Calibrated Random Forest</x:v>
      </x:c>
      <x:c r="B28" s="157" t="str">
        <x:v>test</x:v>
      </x:c>
      <x:c r="C28" s="162" t="n">
        <x:v>0.27</x:v>
      </x:c>
      <x:c r="D28" s="162" t="n">
        <x:v>0.4422158548233046</x:v>
      </x:c>
      <x:c r="E28" s="162" t="n">
        <x:v>0.5352601156069364</x:v>
      </x:c>
      <x:c r="F28" s="162" t="n">
        <x:v>0.4843096234309623</x:v>
      </x:c>
      <x:c r="G28" s="162" t="n">
        <x:v>0.9428123775949864</x:v>
      </x:c>
      <x:c r="H28" s="162" t="n">
        <x:v>0.9054798230567844</x:v>
      </x:c>
      <x:c r="I28" s="157" t="n">
        <x:v>9628</x:v>
      </x:c>
      <x:c r="J28" s="157" t="n">
        <x:v>584</x:v>
      </x:c>
      <x:c r="K28" s="157" t="n">
        <x:v>402</x:v>
      </x:c>
      <x:c r="L28" s="157" t="n">
        <x:v>463</x:v>
      </x:c>
      <x:c r="M28" s="166" t="n">
        <x:v>654687321.79261</x:v>
      </x:c>
      <x:c r="N28" s="166" t="n">
        <x:v>1624438458.83</x:v>
      </x:c>
      <x:c r="O28" s="162" t="n">
        <x:v>0.02</x:v>
      </x:c>
      <x:c r="P28" s="166" t="n">
        <x:v>687176090.96921</x:v>
      </x:c>
      <x:c r="Q28" s="171" t="n">
        <x:f>M28+N28*'Threshold Simulator'!$B$7</x:f>
        <x:v>687176090.96921</x:v>
      </x:c>
    </x:row>
    <x:row r="29">
      <x:c r="A29" s="157" t="str">
        <x:v>Calibrated Random Forest</x:v>
      </x:c>
      <x:c r="B29" s="157" t="str">
        <x:v>test</x:v>
      </x:c>
      <x:c r="C29" s="162" t="n">
        <x:v>0.28</x:v>
      </x:c>
      <x:c r="D29" s="162" t="n">
        <x:v>0.4591728525980912</x:v>
      </x:c>
      <x:c r="E29" s="162" t="n">
        <x:v>0.500578034682081</x:v>
      </x:c>
      <x:c r="F29" s="162" t="n">
        <x:v>0.4789823008849557</x:v>
      </x:c>
      <x:c r="G29" s="162" t="n">
        <x:v>0.9500587544065804</x:v>
      </x:c>
      <x:c r="H29" s="162" t="n">
        <x:v>0.9148686467455088</x:v>
      </x:c>
      <x:c r="I29" s="157" t="n">
        <x:v>9702</x:v>
      </x:c>
      <x:c r="J29" s="157" t="n">
        <x:v>510</x:v>
      </x:c>
      <x:c r="K29" s="157" t="n">
        <x:v>432</x:v>
      </x:c>
      <x:c r="L29" s="157" t="n">
        <x:v>433</x:v>
      </x:c>
      <x:c r="M29" s="166" t="n">
        <x:v>688744405.2692</x:v>
      </x:c>
      <x:c r="N29" s="166" t="n">
        <x:v>1407016541.54</x:v>
      </x:c>
      <x:c r="O29" s="162" t="n">
        <x:v>0.02</x:v>
      </x:c>
      <x:c r="P29" s="166" t="n">
        <x:v>716884736.1</x:v>
      </x:c>
      <x:c r="Q29" s="171" t="n">
        <x:f>M29+N29*'Threshold Simulator'!$B$7</x:f>
        <x:v>716884736.1</x:v>
      </x:c>
    </x:row>
    <x:row r="30">
      <x:c r="A30" s="157" t="str">
        <x:v>Calibrated Random Forest</x:v>
      </x:c>
      <x:c r="B30" s="157" t="str">
        <x:v>test</x:v>
      </x:c>
      <x:c r="C30" s="162" t="n">
        <x:v>0.29</x:v>
      </x:c>
      <x:c r="D30" s="162" t="n">
        <x:v>0.4732041049030787</x:v>
      </x:c>
      <x:c r="E30" s="162" t="n">
        <x:v>0.4797687861271676</x:v>
      </x:c>
      <x:c r="F30" s="162" t="n">
        <x:v>0.4764638346727899</x:v>
      </x:c>
      <x:c r="G30" s="162" t="n">
        <x:v>0.95475910693302</x:v>
      </x:c>
      <x:c r="H30" s="162" t="n">
        <x:v>0.9208269387018144</x:v>
      </x:c>
      <x:c r="I30" s="157" t="n">
        <x:v>9750</x:v>
      </x:c>
      <x:c r="J30" s="157" t="n">
        <x:v>462</x:v>
      </x:c>
      <x:c r="K30" s="157" t="n">
        <x:v>450</x:v>
      </x:c>
      <x:c r="L30" s="157" t="n">
        <x:v>415</x:v>
      </x:c>
      <x:c r="M30" s="166" t="n">
        <x:v>702386152.140564</x:v>
      </x:c>
      <x:c r="N30" s="166" t="n">
        <x:v>1336520040.15</x:v>
      </x:c>
      <x:c r="O30" s="162" t="n">
        <x:v>0.02</x:v>
      </x:c>
      <x:c r="P30" s="166" t="n">
        <x:v>729116552.9435639</x:v>
      </x:c>
      <x:c r="Q30" s="171" t="n">
        <x:f>M30+N30*'Threshold Simulator'!$B$7</x:f>
        <x:v>729116552.9435639</x:v>
      </x:c>
    </x:row>
    <x:row r="31">
      <x:c r="A31" s="157" t="str">
        <x:v>Calibrated Random Forest</x:v>
      </x:c>
      <x:c r="B31" s="157" t="str">
        <x:v>test</x:v>
      </x:c>
      <x:c r="C31" s="162" t="n">
        <x:v>0.3</x:v>
      </x:c>
      <x:c r="D31" s="162" t="n">
        <x:v>0.4803337306317044</x:v>
      </x:c>
      <x:c r="E31" s="162" t="n">
        <x:v>0.4658959537572254</x:v>
      </x:c>
      <x:c r="F31" s="162" t="n">
        <x:v>0.4730046948356807</x:v>
      </x:c>
      <x:c r="G31" s="162" t="n">
        <x:v>0.9573051312181748</x:v>
      </x:c>
      <x:c r="H31" s="162" t="n">
        <x:v>0.9242574704342332</x:v>
      </x:c>
      <x:c r="I31" s="157" t="n">
        <x:v>9776</x:v>
      </x:c>
      <x:c r="J31" s="157" t="n">
        <x:v>436</x:v>
      </x:c>
      <x:c r="K31" s="157" t="n">
        <x:v>462</x:v>
      </x:c>
      <x:c r="L31" s="157" t="n">
        <x:v>403</x:v>
      </x:c>
      <x:c r="M31" s="166" t="n">
        <x:v>725982393.238193</x:v>
      </x:c>
      <x:c r="N31" s="166" t="n">
        <x:v>1293259456.77</x:v>
      </x:c>
      <x:c r="O31" s="162" t="n">
        <x:v>0.02</x:v>
      </x:c>
      <x:c r="P31" s="166" t="n">
        <x:v>751847582.3735931</x:v>
      </x:c>
      <x:c r="Q31" s="171" t="n">
        <x:f>M31+N31*'Threshold Simulator'!$B$7</x:f>
        <x:v>751847582.3735931</x:v>
      </x:c>
    </x:row>
    <x:row r="32">
      <x:c r="A32" s="157" t="str">
        <x:v>Calibrated Random Forest</x:v>
      </x:c>
      <x:c r="B32" s="157" t="str">
        <x:v>test</x:v>
      </x:c>
      <x:c r="C32" s="162" t="n">
        <x:v>0.31</x:v>
      </x:c>
      <x:c r="D32" s="162" t="n">
        <x:v>0.4887780548628428</x:v>
      </x:c>
      <x:c r="E32" s="162" t="n">
        <x:v>0.4531791907514451</x:v>
      </x:c>
      <x:c r="F32" s="162" t="n">
        <x:v>0.4703059388122375</x:v>
      </x:c>
      <x:c r="G32" s="162" t="n">
        <x:v>0.9598511555033294</x:v>
      </x:c>
      <x:c r="H32" s="162" t="n">
        <x:v>0.9275977250157984</x:v>
      </x:c>
      <x:c r="I32" s="157" t="n">
        <x:v>9802</x:v>
      </x:c>
      <x:c r="J32" s="157" t="n">
        <x:v>410</x:v>
      </x:c>
      <x:c r="K32" s="157" t="n">
        <x:v>473</x:v>
      </x:c>
      <x:c r="L32" s="157" t="n">
        <x:v>392</x:v>
      </x:c>
      <x:c r="M32" s="166" t="n">
        <x:v>735934748.9125592</x:v>
      </x:c>
      <x:c r="N32" s="166" t="n">
        <x:v>1252477338.11</x:v>
      </x:c>
      <x:c r="O32" s="162" t="n">
        <x:v>0.02</x:v>
      </x:c>
      <x:c r="P32" s="166" t="n">
        <x:v>760984295.6747591</x:v>
      </x:c>
      <x:c r="Q32" s="171" t="n">
        <x:f>M32+N32*'Threshold Simulator'!$B$7</x:f>
        <x:v>760984295.6747591</x:v>
      </x:c>
    </x:row>
    <x:row r="33">
      <x:c r="A33" s="157" t="str">
        <x:v>Calibrated Random Forest</x:v>
      </x:c>
      <x:c r="B33" s="157" t="str">
        <x:v>test</x:v>
      </x:c>
      <x:c r="C33" s="162" t="n">
        <x:v>0.32</x:v>
      </x:c>
      <x:c r="D33" s="162" t="n">
        <x:v>0.4948320413436692</x:v>
      </x:c>
      <x:c r="E33" s="162" t="n">
        <x:v>0.4427745664739884</x:v>
      </x:c>
      <x:c r="F33" s="162" t="n">
        <x:v>0.4673581452104942</x:v>
      </x:c>
      <x:c r="G33" s="162" t="n">
        <x:v>0.9617117117117115</x:v>
      </x:c>
      <x:c r="H33" s="162" t="n">
        <x:v>0.930125485239686</x:v>
      </x:c>
      <x:c r="I33" s="157" t="n">
        <x:v>9821</x:v>
      </x:c>
      <x:c r="J33" s="157" t="n">
        <x:v>391</x:v>
      </x:c>
      <x:c r="K33" s="157" t="n">
        <x:v>482</x:v>
      </x:c>
      <x:c r="L33" s="157" t="n">
        <x:v>383</x:v>
      </x:c>
      <x:c r="M33" s="166" t="n">
        <x:v>747347132.60531</x:v>
      </x:c>
      <x:c r="N33" s="166" t="n">
        <x:v>1217092404.6</x:v>
      </x:c>
      <x:c r="O33" s="162" t="n">
        <x:v>0.02</x:v>
      </x:c>
      <x:c r="P33" s="166" t="n">
        <x:v>771688980.69731</x:v>
      </x:c>
      <x:c r="Q33" s="171" t="n">
        <x:f>M33+N33*'Threshold Simulator'!$B$7</x:f>
        <x:v>771688980.69731</x:v>
      </x:c>
    </x:row>
    <x:row r="34">
      <x:c r="A34" s="157" t="str">
        <x:v>Calibrated Random Forest</x:v>
      </x:c>
      <x:c r="B34" s="157" t="str">
        <x:v>test</x:v>
      </x:c>
      <x:c r="C34" s="162" t="n">
        <x:v>0.33</x:v>
      </x:c>
      <x:c r="D34" s="162" t="n">
        <x:v>0.4986413043478261</x:v>
      </x:c>
      <x:c r="E34" s="162" t="n">
        <x:v>0.4242774566473988</x:v>
      </x:c>
      <x:c r="F34" s="162" t="n">
        <x:v>0.4584634603372892</x:v>
      </x:c>
      <x:c r="G34" s="162" t="n">
        <x:v>0.9638660399529964</x:v>
      </x:c>
      <x:c r="H34" s="162" t="n">
        <x:v>0.9335560169721044</x:v>
      </x:c>
      <x:c r="I34" s="157" t="n">
        <x:v>9843</x:v>
      </x:c>
      <x:c r="J34" s="157" t="n">
        <x:v>369</x:v>
      </x:c>
      <x:c r="K34" s="157" t="n">
        <x:v>498</x:v>
      </x:c>
      <x:c r="L34" s="157" t="n">
        <x:v>367</x:v>
      </x:c>
      <x:c r="M34" s="166" t="n">
        <x:v>763440837.134565</x:v>
      </x:c>
      <x:c r="N34" s="166" t="n">
        <x:v>1154824864.0000002</x:v>
      </x:c>
      <x:c r="O34" s="162" t="n">
        <x:v>0.02</x:v>
      </x:c>
      <x:c r="P34" s="166" t="n">
        <x:v>786537334.414565</x:v>
      </x:c>
      <x:c r="Q34" s="171" t="n">
        <x:f>M34+N34*'Threshold Simulator'!$B$7</x:f>
        <x:v>786537334.414565</x:v>
      </x:c>
    </x:row>
    <x:row r="35">
      <x:c r="A35" s="157" t="str">
        <x:v>Calibrated Random Forest</x:v>
      </x:c>
      <x:c r="B35" s="157" t="str">
        <x:v>test</x:v>
      </x:c>
      <x:c r="C35" s="162" t="n">
        <x:v>0.34</x:v>
      </x:c>
      <x:c r="D35" s="162" t="n">
        <x:v>0.5035161744022504</x:v>
      </x:c>
      <x:c r="E35" s="162" t="n">
        <x:v>0.4138728323699422</x:v>
      </x:c>
      <x:c r="F35" s="162" t="n">
        <x:v>0.4543147208121827</x:v>
      </x:c>
      <x:c r="G35" s="162" t="n">
        <x:v>0.9654328241284764</x:v>
      </x:c>
      <x:c r="H35" s="162" t="n">
        <x:v>0.9358129457434324</x:v>
      </x:c>
      <x:c r="I35" s="157" t="n">
        <x:v>9859</x:v>
      </x:c>
      <x:c r="J35" s="157" t="n">
        <x:v>353</x:v>
      </x:c>
      <x:c r="K35" s="157" t="n">
        <x:v>507</x:v>
      </x:c>
      <x:c r="L35" s="157" t="n">
        <x:v>358</x:v>
      </x:c>
      <x:c r="M35" s="166" t="n">
        <x:v>774312004.550312</x:v>
      </x:c>
      <x:c r="N35" s="166" t="n">
        <x:v>1062154952.7</x:v>
      </x:c>
      <x:c r="O35" s="162" t="n">
        <x:v>0.02</x:v>
      </x:c>
      <x:c r="P35" s="166" t="n">
        <x:v>795555103.6043121</x:v>
      </x:c>
      <x:c r="Q35" s="171" t="n">
        <x:f>M35+N35*'Threshold Simulator'!$B$7</x:f>
        <x:v>795555103.6043121</x:v>
      </x:c>
    </x:row>
    <x:row r="36">
      <x:c r="A36" s="157" t="str">
        <x:v>Calibrated Random Forest</x:v>
      </x:c>
      <x:c r="B36" s="157" t="str">
        <x:v>test</x:v>
      </x:c>
      <x:c r="C36" s="162" t="n">
        <x:v>0.35</x:v>
      </x:c>
      <x:c r="D36" s="162" t="n">
        <x:v>0.5141158989598811</x:v>
      </x:c>
      <x:c r="E36" s="162" t="n">
        <x:v>0.4</x:v>
      </x:c>
      <x:c r="F36" s="162" t="n">
        <x:v>0.4499349804941482</x:v>
      </x:c>
      <x:c r="G36" s="162" t="n">
        <x:v>0.967978848413631</x:v>
      </x:c>
      <x:c r="H36" s="162" t="n">
        <x:v>0.9392434774758508</x:v>
      </x:c>
      <x:c r="I36" s="157" t="n">
        <x:v>9885</x:v>
      </x:c>
      <x:c r="J36" s="157" t="n">
        <x:v>327</x:v>
      </x:c>
      <x:c r="K36" s="157" t="n">
        <x:v>519</x:v>
      </x:c>
      <x:c r="L36" s="157" t="n">
        <x:v>346</x:v>
      </x:c>
      <x:c r="M36" s="166" t="n">
        <x:v>792832545.260048</x:v>
      </x:c>
      <x:c r="N36" s="166" t="n">
        <x:v>1018815023.26</x:v>
      </x:c>
      <x:c r="O36" s="162" t="n">
        <x:v>0.02</x:v>
      </x:c>
      <x:c r="P36" s="166" t="n">
        <x:v>813208845.725248</x:v>
      </x:c>
      <x:c r="Q36" s="171" t="n">
        <x:f>M36+N36*'Threshold Simulator'!$B$7</x:f>
        <x:v>813208845.725248</x:v>
      </x:c>
    </x:row>
    <x:row r="37">
      <x:c r="A37" s="157" t="str">
        <x:v>Calibrated Random Forest</x:v>
      </x:c>
      <x:c r="B37" s="157" t="str">
        <x:v>test</x:v>
      </x:c>
      <x:c r="C37" s="162" t="n">
        <x:v>0.36</x:v>
      </x:c>
      <x:c r="D37" s="162" t="n">
        <x:v>0.5224358974358975</x:v>
      </x:c>
      <x:c r="E37" s="162" t="n">
        <x:v>0.376878612716763</x:v>
      </x:c>
      <x:c r="F37" s="162" t="n">
        <x:v>0.437877770315648</x:v>
      </x:c>
      <x:c r="G37" s="162" t="n">
        <x:v>0.9708186447316882</x:v>
      </x:c>
      <x:c r="H37" s="162" t="n">
        <x:v>0.9436670578676536</x:v>
      </x:c>
      <x:c r="I37" s="157" t="n">
        <x:v>9914</x:v>
      </x:c>
      <x:c r="J37" s="157" t="n">
        <x:v>298</x:v>
      </x:c>
      <x:c r="K37" s="157" t="n">
        <x:v>539</x:v>
      </x:c>
      <x:c r="L37" s="157" t="n">
        <x:v>326</x:v>
      </x:c>
      <x:c r="M37" s="166" t="n">
        <x:v>822747970.891142</x:v>
      </x:c>
      <x:c r="N37" s="166" t="n">
        <x:v>940834285.15</x:v>
      </x:c>
      <x:c r="O37" s="162" t="n">
        <x:v>0.02</x:v>
      </x:c>
      <x:c r="P37" s="166" t="n">
        <x:v>841564656.594142</x:v>
      </x:c>
      <x:c r="Q37" s="171" t="n">
        <x:f>M37+N37*'Threshold Simulator'!$B$7</x:f>
        <x:v>841564656.594142</x:v>
      </x:c>
    </x:row>
    <x:row r="38">
      <x:c r="A38" s="157" t="str">
        <x:v>Calibrated Random Forest</x:v>
      </x:c>
      <x:c r="B38" s="157" t="str">
        <x:v>test</x:v>
      </x:c>
      <x:c r="C38" s="162" t="n">
        <x:v>0.37</x:v>
      </x:c>
      <x:c r="D38" s="162" t="n">
        <x:v>0.5231316725978647</x:v>
      </x:c>
      <x:c r="E38" s="162" t="n">
        <x:v>0.3398843930635838</x:v>
      </x:c>
      <x:c r="F38" s="162" t="n">
        <x:v>0.4120532585844428</x:v>
      </x:c>
      <x:c r="G38" s="162" t="n">
        <x:v>0.9737563650607128</x:v>
      </x:c>
      <x:c r="H38" s="162" t="n">
        <x:v>0.9492642412205472</x:v>
      </x:c>
      <x:c r="I38" s="157" t="n">
        <x:v>9944</x:v>
      </x:c>
      <x:c r="J38" s="157" t="n">
        <x:v>268</x:v>
      </x:c>
      <x:c r="K38" s="157" t="n">
        <x:v>571</x:v>
      </x:c>
      <x:c r="L38" s="157" t="n">
        <x:v>294</x:v>
      </x:c>
      <x:c r="M38" s="166" t="n">
        <x:v>854835992.543202</x:v>
      </x:c>
      <x:c r="N38" s="166" t="n">
        <x:v>843934637.6500001</x:v>
      </x:c>
      <x:c r="O38" s="162" t="n">
        <x:v>0.02</x:v>
      </x:c>
      <x:c r="P38" s="166" t="n">
        <x:v>871714685.2962021</x:v>
      </x:c>
      <x:c r="Q38" s="171" t="n">
        <x:f>M38+N38*'Threshold Simulator'!$B$7</x:f>
        <x:v>871714685.2962021</x:v>
      </x:c>
    </x:row>
    <x:row r="39">
      <x:c r="A39" s="157" t="str">
        <x:v>Calibrated Random Forest</x:v>
      </x:c>
      <x:c r="B39" s="157" t="str">
        <x:v>test</x:v>
      </x:c>
      <x:c r="C39" s="162" t="n">
        <x:v>0.38</x:v>
      </x:c>
      <x:c r="D39" s="162" t="n">
        <x:v>0.5217391304347826</x:v>
      </x:c>
      <x:c r="E39" s="162" t="n">
        <x:v>0.3052023121387283</x:v>
      </x:c>
      <x:c r="F39" s="162" t="n">
        <x:v>0.3851203501094092</x:v>
      </x:c>
      <x:c r="G39" s="162" t="n">
        <x:v>0.9763023893458675</x:v>
      </x:c>
      <x:c r="H39" s="162" t="n">
        <x:v>0.9543197616683218</x:v>
      </x:c>
      <x:c r="I39" s="157" t="n">
        <x:v>9970</x:v>
      </x:c>
      <x:c r="J39" s="157" t="n">
        <x:v>242</x:v>
      </x:c>
      <x:c r="K39" s="157" t="n">
        <x:v>601</x:v>
      </x:c>
      <x:c r="L39" s="157" t="n">
        <x:v>264</x:v>
      </x:c>
      <x:c r="M39" s="166" t="n">
        <x:v>903509808.76294</x:v>
      </x:c>
      <x:c r="N39" s="166" t="n">
        <x:v>792594366.2</x:v>
      </x:c>
      <x:c r="O39" s="162" t="n">
        <x:v>0.02</x:v>
      </x:c>
      <x:c r="P39" s="166" t="n">
        <x:v>919361696.08694</x:v>
      </x:c>
      <x:c r="Q39" s="171" t="n">
        <x:f>M39+N39*'Threshold Simulator'!$B$7</x:f>
        <x:v>919361696.08694</x:v>
      </x:c>
    </x:row>
    <x:row r="40">
      <x:c r="A40" s="157" t="str">
        <x:v>Calibrated Random Forest</x:v>
      </x:c>
      <x:c r="B40" s="157" t="str">
        <x:v>test</x:v>
      </x:c>
      <x:c r="C40" s="162" t="n">
        <x:v>0.39</x:v>
      </x:c>
      <x:c r="D40" s="162" t="n">
        <x:v>0.5266666666666666</x:v>
      </x:c>
      <x:c r="E40" s="162" t="n">
        <x:v>0.2739884393063583</x:v>
      </x:c>
      <x:c r="F40" s="162" t="n">
        <x:v>0.3604562737642585</x:v>
      </x:c>
      <x:c r="G40" s="162" t="n">
        <x:v>0.9791421856639247</x:v>
      </x:c>
      <x:c r="H40" s="162" t="n">
        <x:v>0.9593752821160964</x:v>
      </x:c>
      <x:c r="I40" s="157" t="n">
        <x:v>9999</x:v>
      </x:c>
      <x:c r="J40" s="157" t="n">
        <x:v>213</x:v>
      </x:c>
      <x:c r="K40" s="157" t="n">
        <x:v>628</x:v>
      </x:c>
      <x:c r="L40" s="157" t="n">
        <x:v>237</x:v>
      </x:c>
      <x:c r="M40" s="166" t="n">
        <x:v>933243297.915426</x:v>
      </x:c>
      <x:c r="N40" s="166" t="n">
        <x:v>650753088.85</x:v>
      </x:c>
      <x:c r="O40" s="162" t="n">
        <x:v>0.02</x:v>
      </x:c>
      <x:c r="P40" s="166" t="n">
        <x:v>946258359.692426</x:v>
      </x:c>
      <x:c r="Q40" s="171" t="n">
        <x:f>M40+N40*'Threshold Simulator'!$B$7</x:f>
        <x:v>946258359.692426</x:v>
      </x:c>
    </x:row>
    <x:row r="41">
      <x:c r="A41" s="157" t="str">
        <x:v>Calibrated Random Forest</x:v>
      </x:c>
      <x:c r="B41" s="157" t="str">
        <x:v>test</x:v>
      </x:c>
      <x:c r="C41" s="162" t="n">
        <x:v>0.4</x:v>
      </x:c>
      <x:c r="D41" s="162" t="n">
        <x:v>0.538860103626943</x:v>
      </x:c>
      <x:c r="E41" s="162" t="n">
        <x:v>0.2404624277456647</x:v>
      </x:c>
      <x:c r="F41" s="162" t="n">
        <x:v>0.3325339728217426</x:v>
      </x:c>
      <x:c r="G41" s="162" t="n">
        <x:v>0.9825695260477868</x:v>
      </x:c>
      <x:c r="H41" s="162" t="n">
        <x:v>0.965153019770696</x:v>
      </x:c>
      <x:c r="I41" s="157" t="n">
        <x:v>10034</x:v>
      </x:c>
      <x:c r="J41" s="157" t="n">
        <x:v>178</x:v>
      </x:c>
      <x:c r="K41" s="157" t="n">
        <x:v>657</x:v>
      </x:c>
      <x:c r="L41" s="157" t="n">
        <x:v>208</x:v>
      </x:c>
      <x:c r="M41" s="166" t="n">
        <x:v>993982354.677521</x:v>
      </x:c>
      <x:c r="N41" s="166" t="n">
        <x:v>502665862.73</x:v>
      </x:c>
      <x:c r="O41" s="162" t="n">
        <x:v>0.02</x:v>
      </x:c>
      <x:c r="P41" s="166" t="n">
        <x:v>1004035671.932121</x:v>
      </x:c>
      <x:c r="Q41" s="171" t="n">
        <x:f>M41+N41*'Threshold Simulator'!$B$7</x:f>
        <x:v>1004035671.932121</x:v>
      </x:c>
    </x:row>
    <x:row r="42">
      <x:c r="A42" s="157" t="str">
        <x:v>Calibrated Random Forest</x:v>
      </x:c>
      <x:c r="B42" s="157" t="str">
        <x:v>test</x:v>
      </x:c>
      <x:c r="C42" s="162" t="n">
        <x:v>0.41</x:v>
      </x:c>
      <x:c r="D42" s="162" t="n">
        <x:v>0.5562913907284768</x:v>
      </x:c>
      <x:c r="E42" s="162" t="n">
        <x:v>0.1942196531791907</x:v>
      </x:c>
      <x:c r="F42" s="162" t="n">
        <x:v>0.2879177377892031</x:v>
      </x:c>
      <x:c r="G42" s="162" t="n">
        <x:v>0.9868781825303564</x:v>
      </x:c>
      <x:c r="H42" s="162" t="n">
        <x:v>0.972736300442358</x:v>
      </x:c>
      <x:c r="I42" s="157" t="n">
        <x:v>10078</x:v>
      </x:c>
      <x:c r="J42" s="157" t="n">
        <x:v>134</x:v>
      </x:c>
      <x:c r="K42" s="157" t="n">
        <x:v>697</x:v>
      </x:c>
      <x:c r="L42" s="157" t="n">
        <x:v>168</x:v>
      </x:c>
      <x:c r="M42" s="166" t="n">
        <x:v>1054237824.296738</x:v>
      </x:c>
      <x:c r="N42" s="166" t="n">
        <x:v>379790521.76</x:v>
      </x:c>
      <x:c r="O42" s="162" t="n">
        <x:v>0.02</x:v>
      </x:c>
      <x:c r="P42" s="166" t="n">
        <x:v>1061833634.731938</x:v>
      </x:c>
      <x:c r="Q42" s="171" t="n">
        <x:f>M42+N42*'Threshold Simulator'!$B$7</x:f>
        <x:v>1061833634.731938</x:v>
      </x:c>
    </x:row>
    <x:row r="43">
      <x:c r="A43" s="157" t="str">
        <x:v>Calibrated Random Forest</x:v>
      </x:c>
      <x:c r="B43" s="157" t="str">
        <x:v>test</x:v>
      </x:c>
      <x:c r="C43" s="162" t="n">
        <x:v>0.42</x:v>
      </x:c>
      <x:c r="D43" s="162" t="n">
        <x:v>0.5950413223140496</x:v>
      </x:c>
      <x:c r="E43" s="162" t="n">
        <x:v>0.1664739884393063</x:v>
      </x:c>
      <x:c r="F43" s="162" t="n">
        <x:v>0.2601626016260163</x:v>
      </x:c>
      <x:c r="G43" s="162" t="n">
        <x:v>0.990403446925186</x:v>
      </x:c>
      <x:c r="H43" s="162" t="n">
        <x:v>0.9781529294935452</x:v>
      </x:c>
      <x:c r="I43" s="157" t="n">
        <x:v>10114</x:v>
      </x:c>
      <x:c r="J43" s="157" t="n">
        <x:v>98</x:v>
      </x:c>
      <x:c r="K43" s="157" t="n">
        <x:v>721</x:v>
      </x:c>
      <x:c r="L43" s="157" t="n">
        <x:v>144</x:v>
      </x:c>
      <x:c r="M43" s="166" t="n">
        <x:v>1122067351.481855</x:v>
      </x:c>
      <x:c r="N43" s="166" t="n">
        <x:v>286519861.66</x:v>
      </x:c>
      <x:c r="O43" s="162" t="n">
        <x:v>0.02</x:v>
      </x:c>
      <x:c r="P43" s="166" t="n">
        <x:v>1127797748.715055</x:v>
      </x:c>
      <x:c r="Q43" s="171" t="n">
        <x:f>M43+N43*'Threshold Simulator'!$B$7</x:f>
        <x:v>1127797748.715055</x:v>
      </x:c>
    </x:row>
    <x:row r="44">
      <x:c r="A44" s="157" t="str">
        <x:v>Calibrated Random Forest</x:v>
      </x:c>
      <x:c r="B44" s="157" t="str">
        <x:v>test</x:v>
      </x:c>
      <x:c r="C44" s="162" t="n">
        <x:v>0.43</x:v>
      </x:c>
      <x:c r="D44" s="162" t="n">
        <x:v>0.6298342541436464</x:v>
      </x:c>
      <x:c r="E44" s="162" t="n">
        <x:v>0.1317919075144508</x:v>
      </x:c>
      <x:c r="F44" s="162" t="n">
        <x:v>0.2179732313575526</x:v>
      </x:c>
      <x:c r="G44" s="162" t="n">
        <x:v>0.9934390912651784</x:v>
      </x:c>
      <x:c r="H44" s="162" t="n">
        <x:v>0.9836598356955856</x:v>
      </x:c>
      <x:c r="I44" s="157" t="n">
        <x:v>10145</x:v>
      </x:c>
      <x:c r="J44" s="157" t="n">
        <x:v>67</x:v>
      </x:c>
      <x:c r="K44" s="157" t="n">
        <x:v>751</x:v>
      </x:c>
      <x:c r="L44" s="157" t="n">
        <x:v>114</x:v>
      </x:c>
      <x:c r="M44" s="166" t="n">
        <x:v>1154401679.322662</x:v>
      </x:c>
      <x:c r="N44" s="166" t="n">
        <x:v>168384775.86999995</x:v>
      </x:c>
      <x:c r="O44" s="162" t="n">
        <x:v>0.02</x:v>
      </x:c>
      <x:c r="P44" s="166" t="n">
        <x:v>1157769374.840062</x:v>
      </x:c>
      <x:c r="Q44" s="171" t="n">
        <x:f>M44+N44*'Threshold Simulator'!$B$7</x:f>
        <x:v>1157769374.8400621</x:v>
      </x:c>
    </x:row>
    <x:row r="45">
      <x:c r="A45" s="157" t="str">
        <x:v>Calibrated Random Forest</x:v>
      </x:c>
      <x:c r="B45" s="157" t="str">
        <x:v>test</x:v>
      </x:c>
      <x:c r="C45" s="162" t="n">
        <x:v>0.44</x:v>
      </x:c>
      <x:c r="D45" s="162" t="n">
        <x:v>0.6229508196721312</x:v>
      </x:c>
      <x:c r="E45" s="162" t="n">
        <x:v>0.0878612716763005</x:v>
      </x:c>
      <x:c r="F45" s="162" t="n">
        <x:v>0.1540020263424519</x:v>
      </x:c>
      <x:c r="G45" s="162" t="n">
        <x:v>0.9954954954954957</x:v>
      </x:c>
      <x:c r="H45" s="162" t="n">
        <x:v>0.9889861875959196</x:v>
      </x:c>
      <x:c r="I45" s="157" t="n">
        <x:v>10166</x:v>
      </x:c>
      <x:c r="J45" s="157" t="n">
        <x:v>46</x:v>
      </x:c>
      <x:c r="K45" s="157" t="n">
        <x:v>789</x:v>
      </x:c>
      <x:c r="L45" s="157" t="n">
        <x:v>76</x:v>
      </x:c>
      <x:c r="M45" s="166" t="n">
        <x:v>1195242367.534981</x:v>
      </x:c>
      <x:c r="N45" s="166" t="n">
        <x:v>106086486.8</x:v>
      </x:c>
      <x:c r="O45" s="162" t="n">
        <x:v>0.02</x:v>
      </x:c>
      <x:c r="P45" s="166" t="n">
        <x:v>1197364097.270981</x:v>
      </x:c>
      <x:c r="Q45" s="171" t="n">
        <x:f>M45+N45*'Threshold Simulator'!$B$7</x:f>
        <x:v>1197364097.270981</x:v>
      </x:c>
    </x:row>
    <x:row r="46">
      <x:c r="A46" s="157" t="str">
        <x:v>Calibrated Random Forest</x:v>
      </x:c>
      <x:c r="B46" s="157" t="str">
        <x:v>test</x:v>
      </x:c>
      <x:c r="C46" s="162" t="n">
        <x:v>0.45</x:v>
      </x:c>
      <x:c r="D46" s="162" t="n">
        <x:v>0.5967741935483871</x:v>
      </x:c>
      <x:c r="E46" s="162" t="n">
        <x:v>0.0427745664739884</x:v>
      </x:c>
      <x:c r="F46" s="162" t="n">
        <x:v>0.0798274002157497</x:v>
      </x:c>
      <x:c r="G46" s="162" t="n">
        <x:v>0.9975518997258128</x:v>
      </x:c>
      <x:c r="H46" s="162" t="n">
        <x:v>0.9944028166471066</x:v>
      </x:c>
      <x:c r="I46" s="157" t="n">
        <x:v>10187</x:v>
      </x:c>
      <x:c r="J46" s="157" t="n">
        <x:v>25</x:v>
      </x:c>
      <x:c r="K46" s="157" t="n">
        <x:v>828</x:v>
      </x:c>
      <x:c r="L46" s="157" t="n">
        <x:v>37</x:v>
      </x:c>
      <x:c r="M46" s="166" t="n">
        <x:v>1231951063.287902</x:v>
      </x:c>
      <x:c r="N46" s="166" t="n">
        <x:v>56612453.13</x:v>
      </x:c>
      <x:c r="O46" s="162" t="n">
        <x:v>0.02</x:v>
      </x:c>
      <x:c r="P46" s="166" t="n">
        <x:v>1233083312.350502</x:v>
      </x:c>
      <x:c r="Q46" s="171" t="n">
        <x:f>M46+N46*'Threshold Simulator'!$B$7</x:f>
        <x:v>1233083312.350502</x:v>
      </x:c>
    </x:row>
    <x:row r="47">
      <x:c r="A47" s="157" t="str">
        <x:v>Calibrated Random Forest</x:v>
      </x:c>
      <x:c r="B47" s="157" t="str">
        <x:v>test</x:v>
      </x:c>
      <x:c r="C47" s="162" t="n">
        <x:v>0.46</x:v>
      </x:c>
      <x:c r="D47" s="162" t="n">
        <x:v>0.6470588235294118</x:v>
      </x:c>
      <x:c r="E47" s="162" t="n">
        <x:v>0.0127167630057803</x:v>
      </x:c>
      <x:c r="F47" s="162" t="n">
        <x:v>0.0249433106575963</x:v>
      </x:c>
      <x:c r="G47" s="162" t="n">
        <x:v>0.999412455934195</x:v>
      </x:c>
      <x:c r="H47" s="162" t="n">
        <x:v>0.998465288435497</x:v>
      </x:c>
      <x:c r="I47" s="157" t="n">
        <x:v>10206</x:v>
      </x:c>
      <x:c r="J47" s="157" t="n">
        <x:v>6</x:v>
      </x:c>
      <x:c r="K47" s="157" t="n">
        <x:v>854</x:v>
      </x:c>
      <x:c r="L47" s="157" t="n">
        <x:v>11</x:v>
      </x:c>
      <x:c r="M47" s="166" t="n">
        <x:v>1259631848.298852</x:v>
      </x:c>
      <x:c r="N47" s="166" t="n">
        <x:v>10709882.259999998</x:v>
      </x:c>
      <x:c r="O47" s="162" t="n">
        <x:v>0.02</x:v>
      </x:c>
      <x:c r="P47" s="166" t="n">
        <x:v>1259846045.944052</x:v>
      </x:c>
      <x:c r="Q47" s="171" t="n">
        <x:f>M47+N47*'Threshold Simulator'!$B$7</x:f>
        <x:v>1259846045.944052</x:v>
      </x:c>
    </x:row>
    <x:row r="48">
      <x:c r="A48" s="157" t="str">
        <x:v>Calibrated Random Forest</x:v>
      </x:c>
      <x:c r="B48" s="157" t="str">
        <x:v>test</x:v>
      </x:c>
      <x:c r="C48" s="162" t="n">
        <x:v>0.47</x:v>
      </x:c>
      <x:c r="D48" s="162" t="n">
        <x:v>0</x:v>
      </x:c>
      <x:c r="E48" s="162" t="n">
        <x:v>0</x:v>
      </x:c>
      <x:c r="F48" s="162" t="n">
        <x:v>0</x:v>
      </x:c>
      <x:c r="G48" s="162" t="n">
        <x:v>1</x:v>
      </x:c>
      <x:c r="H48" s="162" t="n">
        <x:v>1</x:v>
      </x:c>
      <x:c r="I48" s="157" t="n">
        <x:v>10212</x:v>
      </x:c>
      <x:c r="J48" s="157" t="n">
        <x:v>0</x:v>
      </x:c>
      <x:c r="K48" s="157" t="n">
        <x:v>865</x:v>
      </x:c>
      <x:c r="L48" s="157" t="n">
        <x:v>0</x:v>
      </x:c>
      <x:c r="M48" s="166" t="n">
        <x:v>1271047701.5045412</x:v>
      </x:c>
      <x:c r="N48" s="166" t="n">
        <x:v>0</x:v>
      </x:c>
      <x:c r="O48" s="162" t="n">
        <x:v>0.02</x:v>
      </x:c>
      <x:c r="P48" s="166" t="n">
        <x:v>1271047701.5045412</x:v>
      </x:c>
      <x:c r="Q48" s="171" t="n">
        <x:f>M48+N48*'Threshold Simulator'!$B$7</x:f>
        <x:v>1271047701.5045412</x:v>
      </x:c>
    </x:row>
    <x:row r="49">
      <x:c r="A49" s="157" t="str">
        <x:v>Calibrated Random Forest</x:v>
      </x:c>
      <x:c r="B49" s="157" t="str">
        <x:v>test</x:v>
      </x:c>
      <x:c r="C49" s="162" t="n">
        <x:v>0.48</x:v>
      </x:c>
      <x:c r="D49" s="162" t="n">
        <x:v>0</x:v>
      </x:c>
      <x:c r="E49" s="162" t="n">
        <x:v>0</x:v>
      </x:c>
      <x:c r="F49" s="162" t="n">
        <x:v>0</x:v>
      </x:c>
      <x:c r="G49" s="162" t="n">
        <x:v>1</x:v>
      </x:c>
      <x:c r="H49" s="162" t="n">
        <x:v>1</x:v>
      </x:c>
      <x:c r="I49" s="157" t="n">
        <x:v>10212</x:v>
      </x:c>
      <x:c r="J49" s="157" t="n">
        <x:v>0</x:v>
      </x:c>
      <x:c r="K49" s="157" t="n">
        <x:v>865</x:v>
      </x:c>
      <x:c r="L49" s="157" t="n">
        <x:v>0</x:v>
      </x:c>
      <x:c r="M49" s="166" t="n">
        <x:v>1271047701.5045412</x:v>
      </x:c>
      <x:c r="N49" s="166" t="n">
        <x:v>0</x:v>
      </x:c>
      <x:c r="O49" s="162" t="n">
        <x:v>0.02</x:v>
      </x:c>
      <x:c r="P49" s="166" t="n">
        <x:v>1271047701.5045412</x:v>
      </x:c>
      <x:c r="Q49" s="171" t="n">
        <x:f>M49+N49*'Threshold Simulator'!$B$7</x:f>
        <x:v>1271047701.5045412</x:v>
      </x:c>
    </x:row>
    <x:row r="50">
      <x:c r="A50" s="157" t="str">
        <x:v>Calibrated Random Forest</x:v>
      </x:c>
      <x:c r="B50" s="157" t="str">
        <x:v>test</x:v>
      </x:c>
      <x:c r="C50" s="162" t="n">
        <x:v>0.49</x:v>
      </x:c>
      <x:c r="D50" s="162" t="n">
        <x:v>0</x:v>
      </x:c>
      <x:c r="E50" s="162" t="n">
        <x:v>0</x:v>
      </x:c>
      <x:c r="F50" s="162" t="n">
        <x:v>0</x:v>
      </x:c>
      <x:c r="G50" s="162" t="n">
        <x:v>1</x:v>
      </x:c>
      <x:c r="H50" s="162" t="n">
        <x:v>1</x:v>
      </x:c>
      <x:c r="I50" s="157" t="n">
        <x:v>10212</x:v>
      </x:c>
      <x:c r="J50" s="157" t="n">
        <x:v>0</x:v>
      </x:c>
      <x:c r="K50" s="157" t="n">
        <x:v>865</x:v>
      </x:c>
      <x:c r="L50" s="157" t="n">
        <x:v>0</x:v>
      </x:c>
      <x:c r="M50" s="166" t="n">
        <x:v>1271047701.5045412</x:v>
      </x:c>
      <x:c r="N50" s="166" t="n">
        <x:v>0</x:v>
      </x:c>
      <x:c r="O50" s="162" t="n">
        <x:v>0.02</x:v>
      </x:c>
      <x:c r="P50" s="166" t="n">
        <x:v>1271047701.5045412</x:v>
      </x:c>
      <x:c r="Q50" s="171" t="n">
        <x:f>M50+N50*'Threshold Simulator'!$B$7</x:f>
        <x:v>1271047701.5045412</x:v>
      </x:c>
    </x:row>
    <x:row r="51">
      <x:c r="A51" s="157" t="str">
        <x:v>Calibrated Random Forest</x:v>
      </x:c>
      <x:c r="B51" s="157" t="str">
        <x:v>test</x:v>
      </x:c>
      <x:c r="C51" s="162" t="n">
        <x:v>0.5</x:v>
      </x:c>
      <x:c r="D51" s="162" t="n">
        <x:v>0</x:v>
      </x:c>
      <x:c r="E51" s="162" t="n">
        <x:v>0</x:v>
      </x:c>
      <x:c r="F51" s="162" t="n">
        <x:v>0</x:v>
      </x:c>
      <x:c r="G51" s="162" t="n">
        <x:v>1</x:v>
      </x:c>
      <x:c r="H51" s="162" t="n">
        <x:v>1</x:v>
      </x:c>
      <x:c r="I51" s="157" t="n">
        <x:v>10212</x:v>
      </x:c>
      <x:c r="J51" s="157" t="n">
        <x:v>0</x:v>
      </x:c>
      <x:c r="K51" s="157" t="n">
        <x:v>865</x:v>
      </x:c>
      <x:c r="L51" s="157" t="n">
        <x:v>0</x:v>
      </x:c>
      <x:c r="M51" s="166" t="n">
        <x:v>1271047701.5045412</x:v>
      </x:c>
      <x:c r="N51" s="166" t="n">
        <x:v>0</x:v>
      </x:c>
      <x:c r="O51" s="162" t="n">
        <x:v>0.02</x:v>
      </x:c>
      <x:c r="P51" s="166" t="n">
        <x:v>1271047701.5045412</x:v>
      </x:c>
      <x:c r="Q51" s="171" t="n">
        <x:f>M51+N51*'Threshold Simulator'!$B$7</x:f>
        <x:v>1271047701.5045412</x:v>
      </x:c>
    </x:row>
    <x:row r="52">
      <x:c r="A52" s="157" t="str">
        <x:v>Calibrated Random Forest</x:v>
      </x:c>
      <x:c r="B52" s="157" t="str">
        <x:v>test</x:v>
      </x:c>
      <x:c r="C52" s="162" t="n">
        <x:v>0.51</x:v>
      </x:c>
      <x:c r="D52" s="162" t="n">
        <x:v>0</x:v>
      </x:c>
      <x:c r="E52" s="162" t="n">
        <x:v>0</x:v>
      </x:c>
      <x:c r="F52" s="162" t="n">
        <x:v>0</x:v>
      </x:c>
      <x:c r="G52" s="162" t="n">
        <x:v>1</x:v>
      </x:c>
      <x:c r="H52" s="162" t="n">
        <x:v>1</x:v>
      </x:c>
      <x:c r="I52" s="157" t="n">
        <x:v>10212</x:v>
      </x:c>
      <x:c r="J52" s="157" t="n">
        <x:v>0</x:v>
      </x:c>
      <x:c r="K52" s="157" t="n">
        <x:v>865</x:v>
      </x:c>
      <x:c r="L52" s="157" t="n">
        <x:v>0</x:v>
      </x:c>
      <x:c r="M52" s="166" t="n">
        <x:v>1271047701.5045412</x:v>
      </x:c>
      <x:c r="N52" s="166" t="n">
        <x:v>0</x:v>
      </x:c>
      <x:c r="O52" s="162" t="n">
        <x:v>0.02</x:v>
      </x:c>
      <x:c r="P52" s="166" t="n">
        <x:v>1271047701.5045412</x:v>
      </x:c>
      <x:c r="Q52" s="171" t="n">
        <x:f>M52+N52*'Threshold Simulator'!$B$7</x:f>
        <x:v>1271047701.5045412</x:v>
      </x:c>
    </x:row>
    <x:row r="53">
      <x:c r="A53" s="157" t="str">
        <x:v>Calibrated Random Forest</x:v>
      </x:c>
      <x:c r="B53" s="157" t="str">
        <x:v>test</x:v>
      </x:c>
      <x:c r="C53" s="162" t="n">
        <x:v>0.52</x:v>
      </x:c>
      <x:c r="D53" s="162" t="n">
        <x:v>0</x:v>
      </x:c>
      <x:c r="E53" s="162" t="n">
        <x:v>0</x:v>
      </x:c>
      <x:c r="F53" s="162" t="n">
        <x:v>0</x:v>
      </x:c>
      <x:c r="G53" s="162" t="n">
        <x:v>1</x:v>
      </x:c>
      <x:c r="H53" s="162" t="n">
        <x:v>1</x:v>
      </x:c>
      <x:c r="I53" s="157" t="n">
        <x:v>10212</x:v>
      </x:c>
      <x:c r="J53" s="157" t="n">
        <x:v>0</x:v>
      </x:c>
      <x:c r="K53" s="157" t="n">
        <x:v>865</x:v>
      </x:c>
      <x:c r="L53" s="157" t="n">
        <x:v>0</x:v>
      </x:c>
      <x:c r="M53" s="166" t="n">
        <x:v>1271047701.5045412</x:v>
      </x:c>
      <x:c r="N53" s="166" t="n">
        <x:v>0</x:v>
      </x:c>
      <x:c r="O53" s="162" t="n">
        <x:v>0.02</x:v>
      </x:c>
      <x:c r="P53" s="166" t="n">
        <x:v>1271047701.5045412</x:v>
      </x:c>
      <x:c r="Q53" s="171" t="n">
        <x:f>M53+N53*'Threshold Simulator'!$B$7</x:f>
        <x:v>1271047701.5045412</x:v>
      </x:c>
    </x:row>
    <x:row r="54">
      <x:c r="A54" s="157" t="str">
        <x:v>Calibrated Random Forest</x:v>
      </x:c>
      <x:c r="B54" s="157" t="str">
        <x:v>test</x:v>
      </x:c>
      <x:c r="C54" s="162" t="n">
        <x:v>0.53</x:v>
      </x:c>
      <x:c r="D54" s="162" t="n">
        <x:v>0</x:v>
      </x:c>
      <x:c r="E54" s="162" t="n">
        <x:v>0</x:v>
      </x:c>
      <x:c r="F54" s="162" t="n">
        <x:v>0</x:v>
      </x:c>
      <x:c r="G54" s="162" t="n">
        <x:v>1</x:v>
      </x:c>
      <x:c r="H54" s="162" t="n">
        <x:v>1</x:v>
      </x:c>
      <x:c r="I54" s="157" t="n">
        <x:v>10212</x:v>
      </x:c>
      <x:c r="J54" s="157" t="n">
        <x:v>0</x:v>
      </x:c>
      <x:c r="K54" s="157" t="n">
        <x:v>865</x:v>
      </x:c>
      <x:c r="L54" s="157" t="n">
        <x:v>0</x:v>
      </x:c>
      <x:c r="M54" s="166" t="n">
        <x:v>1271047701.5045412</x:v>
      </x:c>
      <x:c r="N54" s="166" t="n">
        <x:v>0</x:v>
      </x:c>
      <x:c r="O54" s="162" t="n">
        <x:v>0.02</x:v>
      </x:c>
      <x:c r="P54" s="166" t="n">
        <x:v>1271047701.5045412</x:v>
      </x:c>
      <x:c r="Q54" s="171" t="n">
        <x:f>M54+N54*'Threshold Simulator'!$B$7</x:f>
        <x:v>1271047701.5045412</x:v>
      </x:c>
    </x:row>
    <x:row r="55">
      <x:c r="A55" s="157" t="str">
        <x:v>Calibrated Random Forest</x:v>
      </x:c>
      <x:c r="B55" s="157" t="str">
        <x:v>test</x:v>
      </x:c>
      <x:c r="C55" s="162" t="n">
        <x:v>0.54</x:v>
      </x:c>
      <x:c r="D55" s="162" t="n">
        <x:v>0</x:v>
      </x:c>
      <x:c r="E55" s="162" t="n">
        <x:v>0</x:v>
      </x:c>
      <x:c r="F55" s="162" t="n">
        <x:v>0</x:v>
      </x:c>
      <x:c r="G55" s="162" t="n">
        <x:v>1</x:v>
      </x:c>
      <x:c r="H55" s="162" t="n">
        <x:v>1</x:v>
      </x:c>
      <x:c r="I55" s="157" t="n">
        <x:v>10212</x:v>
      </x:c>
      <x:c r="J55" s="157" t="n">
        <x:v>0</x:v>
      </x:c>
      <x:c r="K55" s="157" t="n">
        <x:v>865</x:v>
      </x:c>
      <x:c r="L55" s="157" t="n">
        <x:v>0</x:v>
      </x:c>
      <x:c r="M55" s="166" t="n">
        <x:v>1271047701.5045412</x:v>
      </x:c>
      <x:c r="N55" s="166" t="n">
        <x:v>0</x:v>
      </x:c>
      <x:c r="O55" s="162" t="n">
        <x:v>0.02</x:v>
      </x:c>
      <x:c r="P55" s="166" t="n">
        <x:v>1271047701.5045412</x:v>
      </x:c>
      <x:c r="Q55" s="171" t="n">
        <x:f>M55+N55*'Threshold Simulator'!$B$7</x:f>
        <x:v>1271047701.5045412</x:v>
      </x:c>
    </x:row>
    <x:row r="56">
      <x:c r="A56" s="157" t="str">
        <x:v>Calibrated Random Forest</x:v>
      </x:c>
      <x:c r="B56" s="157" t="str">
        <x:v>test</x:v>
      </x:c>
      <x:c r="C56" s="162" t="n">
        <x:v>0.55</x:v>
      </x:c>
      <x:c r="D56" s="162" t="n">
        <x:v>0</x:v>
      </x:c>
      <x:c r="E56" s="162" t="n">
        <x:v>0</x:v>
      </x:c>
      <x:c r="F56" s="162" t="n">
        <x:v>0</x:v>
      </x:c>
      <x:c r="G56" s="162" t="n">
        <x:v>1</x:v>
      </x:c>
      <x:c r="H56" s="162" t="n">
        <x:v>1</x:v>
      </x:c>
      <x:c r="I56" s="157" t="n">
        <x:v>10212</x:v>
      </x:c>
      <x:c r="J56" s="157" t="n">
        <x:v>0</x:v>
      </x:c>
      <x:c r="K56" s="157" t="n">
        <x:v>865</x:v>
      </x:c>
      <x:c r="L56" s="157" t="n">
        <x:v>0</x:v>
      </x:c>
      <x:c r="M56" s="166" t="n">
        <x:v>1271047701.5045412</x:v>
      </x:c>
      <x:c r="N56" s="166" t="n">
        <x:v>0</x:v>
      </x:c>
      <x:c r="O56" s="162" t="n">
        <x:v>0.02</x:v>
      </x:c>
      <x:c r="P56" s="166" t="n">
        <x:v>1271047701.5045412</x:v>
      </x:c>
      <x:c r="Q56" s="171" t="n">
        <x:f>M56+N56*'Threshold Simulator'!$B$7</x:f>
        <x:v>1271047701.5045412</x:v>
      </x:c>
    </x:row>
    <x:row r="57">
      <x:c r="A57" s="157" t="str">
        <x:v>Calibrated Random Forest</x:v>
      </x:c>
      <x:c r="B57" s="157" t="str">
        <x:v>test</x:v>
      </x:c>
      <x:c r="C57" s="162" t="n">
        <x:v>0.56</x:v>
      </x:c>
      <x:c r="D57" s="162" t="n">
        <x:v>0</x:v>
      </x:c>
      <x:c r="E57" s="162" t="n">
        <x:v>0</x:v>
      </x:c>
      <x:c r="F57" s="162" t="n">
        <x:v>0</x:v>
      </x:c>
      <x:c r="G57" s="162" t="n">
        <x:v>1</x:v>
      </x:c>
      <x:c r="H57" s="162" t="n">
        <x:v>1</x:v>
      </x:c>
      <x:c r="I57" s="157" t="n">
        <x:v>10212</x:v>
      </x:c>
      <x:c r="J57" s="157" t="n">
        <x:v>0</x:v>
      </x:c>
      <x:c r="K57" s="157" t="n">
        <x:v>865</x:v>
      </x:c>
      <x:c r="L57" s="157" t="n">
        <x:v>0</x:v>
      </x:c>
      <x:c r="M57" s="166" t="n">
        <x:v>1271047701.5045412</x:v>
      </x:c>
      <x:c r="N57" s="166" t="n">
        <x:v>0</x:v>
      </x:c>
      <x:c r="O57" s="162" t="n">
        <x:v>0.02</x:v>
      </x:c>
      <x:c r="P57" s="166" t="n">
        <x:v>1271047701.5045412</x:v>
      </x:c>
      <x:c r="Q57" s="171" t="n">
        <x:f>M57+N57*'Threshold Simulator'!$B$7</x:f>
        <x:v>1271047701.5045412</x:v>
      </x:c>
    </x:row>
    <x:row r="58">
      <x:c r="A58" s="157" t="str">
        <x:v>Calibrated Random Forest</x:v>
      </x:c>
      <x:c r="B58" s="157" t="str">
        <x:v>test</x:v>
      </x:c>
      <x:c r="C58" s="162" t="n">
        <x:v>0.57</x:v>
      </x:c>
      <x:c r="D58" s="162" t="n">
        <x:v>0</x:v>
      </x:c>
      <x:c r="E58" s="162" t="n">
        <x:v>0</x:v>
      </x:c>
      <x:c r="F58" s="162" t="n">
        <x:v>0</x:v>
      </x:c>
      <x:c r="G58" s="162" t="n">
        <x:v>1</x:v>
      </x:c>
      <x:c r="H58" s="162" t="n">
        <x:v>1</x:v>
      </x:c>
      <x:c r="I58" s="157" t="n">
        <x:v>10212</x:v>
      </x:c>
      <x:c r="J58" s="157" t="n">
        <x:v>0</x:v>
      </x:c>
      <x:c r="K58" s="157" t="n">
        <x:v>865</x:v>
      </x:c>
      <x:c r="L58" s="157" t="n">
        <x:v>0</x:v>
      </x:c>
      <x:c r="M58" s="166" t="n">
        <x:v>1271047701.5045412</x:v>
      </x:c>
      <x:c r="N58" s="166" t="n">
        <x:v>0</x:v>
      </x:c>
      <x:c r="O58" s="162" t="n">
        <x:v>0.02</x:v>
      </x:c>
      <x:c r="P58" s="166" t="n">
        <x:v>1271047701.5045412</x:v>
      </x:c>
      <x:c r="Q58" s="171" t="n">
        <x:f>M58+N58*'Threshold Simulator'!$B$7</x:f>
        <x:v>1271047701.5045412</x:v>
      </x:c>
    </x:row>
    <x:row r="59">
      <x:c r="A59" s="157" t="str">
        <x:v>Calibrated Random Forest</x:v>
      </x:c>
      <x:c r="B59" s="157" t="str">
        <x:v>test</x:v>
      </x:c>
      <x:c r="C59" s="162" t="n">
        <x:v>0.58</x:v>
      </x:c>
      <x:c r="D59" s="162" t="n">
        <x:v>0</x:v>
      </x:c>
      <x:c r="E59" s="162" t="n">
        <x:v>0</x:v>
      </x:c>
      <x:c r="F59" s="162" t="n">
        <x:v>0</x:v>
      </x:c>
      <x:c r="G59" s="162" t="n">
        <x:v>1</x:v>
      </x:c>
      <x:c r="H59" s="162" t="n">
        <x:v>1</x:v>
      </x:c>
      <x:c r="I59" s="157" t="n">
        <x:v>10212</x:v>
      </x:c>
      <x:c r="J59" s="157" t="n">
        <x:v>0</x:v>
      </x:c>
      <x:c r="K59" s="157" t="n">
        <x:v>865</x:v>
      </x:c>
      <x:c r="L59" s="157" t="n">
        <x:v>0</x:v>
      </x:c>
      <x:c r="M59" s="166" t="n">
        <x:v>1271047701.5045412</x:v>
      </x:c>
      <x:c r="N59" s="166" t="n">
        <x:v>0</x:v>
      </x:c>
      <x:c r="O59" s="162" t="n">
        <x:v>0.02</x:v>
      </x:c>
      <x:c r="P59" s="166" t="n">
        <x:v>1271047701.5045412</x:v>
      </x:c>
      <x:c r="Q59" s="171" t="n">
        <x:f>M59+N59*'Threshold Simulator'!$B$7</x:f>
        <x:v>1271047701.5045412</x:v>
      </x:c>
    </x:row>
    <x:row r="60">
      <x:c r="A60" s="157" t="str">
        <x:v>Calibrated Random Forest</x:v>
      </x:c>
      <x:c r="B60" s="157" t="str">
        <x:v>test</x:v>
      </x:c>
      <x:c r="C60" s="162" t="n">
        <x:v>0.59</x:v>
      </x:c>
      <x:c r="D60" s="162" t="n">
        <x:v>0</x:v>
      </x:c>
      <x:c r="E60" s="162" t="n">
        <x:v>0</x:v>
      </x:c>
      <x:c r="F60" s="162" t="n">
        <x:v>0</x:v>
      </x:c>
      <x:c r="G60" s="162" t="n">
        <x:v>1</x:v>
      </x:c>
      <x:c r="H60" s="162" t="n">
        <x:v>1</x:v>
      </x:c>
      <x:c r="I60" s="157" t="n">
        <x:v>10212</x:v>
      </x:c>
      <x:c r="J60" s="157" t="n">
        <x:v>0</x:v>
      </x:c>
      <x:c r="K60" s="157" t="n">
        <x:v>865</x:v>
      </x:c>
      <x:c r="L60" s="157" t="n">
        <x:v>0</x:v>
      </x:c>
      <x:c r="M60" s="166" t="n">
        <x:v>1271047701.5045412</x:v>
      </x:c>
      <x:c r="N60" s="166" t="n">
        <x:v>0</x:v>
      </x:c>
      <x:c r="O60" s="162" t="n">
        <x:v>0.02</x:v>
      </x:c>
      <x:c r="P60" s="166" t="n">
        <x:v>1271047701.5045412</x:v>
      </x:c>
      <x:c r="Q60" s="171" t="n">
        <x:f>M60+N60*'Threshold Simulator'!$B$7</x:f>
        <x:v>1271047701.5045412</x:v>
      </x:c>
    </x:row>
    <x:row r="61">
      <x:c r="A61" s="157" t="str">
        <x:v>Calibrated Random Forest</x:v>
      </x:c>
      <x:c r="B61" s="157" t="str">
        <x:v>test</x:v>
      </x:c>
      <x:c r="C61" s="162" t="n">
        <x:v>0.6</x:v>
      </x:c>
      <x:c r="D61" s="162" t="n">
        <x:v>0</x:v>
      </x:c>
      <x:c r="E61" s="162" t="n">
        <x:v>0</x:v>
      </x:c>
      <x:c r="F61" s="162" t="n">
        <x:v>0</x:v>
      </x:c>
      <x:c r="G61" s="162" t="n">
        <x:v>1</x:v>
      </x:c>
      <x:c r="H61" s="162" t="n">
        <x:v>1</x:v>
      </x:c>
      <x:c r="I61" s="157" t="n">
        <x:v>10212</x:v>
      </x:c>
      <x:c r="J61" s="157" t="n">
        <x:v>0</x:v>
      </x:c>
      <x:c r="K61" s="157" t="n">
        <x:v>865</x:v>
      </x:c>
      <x:c r="L61" s="157" t="n">
        <x:v>0</x:v>
      </x:c>
      <x:c r="M61" s="166" t="n">
        <x:v>1271047701.5045412</x:v>
      </x:c>
      <x:c r="N61" s="166" t="n">
        <x:v>0</x:v>
      </x:c>
      <x:c r="O61" s="162" t="n">
        <x:v>0.02</x:v>
      </x:c>
      <x:c r="P61" s="166" t="n">
        <x:v>1271047701.5045412</x:v>
      </x:c>
      <x:c r="Q61" s="171" t="n">
        <x:f>M61+N61*'Threshold Simulator'!$B$7</x:f>
        <x:v>1271047701.5045412</x:v>
      </x:c>
    </x:row>
    <x:row r="62">
      <x:c r="A62" s="157" t="str">
        <x:v>Calibrated Random Forest</x:v>
      </x:c>
      <x:c r="B62" s="157" t="str">
        <x:v>test</x:v>
      </x:c>
      <x:c r="C62" s="162" t="n">
        <x:v>0.61</x:v>
      </x:c>
      <x:c r="D62" s="162" t="n">
        <x:v>0</x:v>
      </x:c>
      <x:c r="E62" s="162" t="n">
        <x:v>0</x:v>
      </x:c>
      <x:c r="F62" s="162" t="n">
        <x:v>0</x:v>
      </x:c>
      <x:c r="G62" s="162" t="n">
        <x:v>1</x:v>
      </x:c>
      <x:c r="H62" s="162" t="n">
        <x:v>1</x:v>
      </x:c>
      <x:c r="I62" s="157" t="n">
        <x:v>10212</x:v>
      </x:c>
      <x:c r="J62" s="157" t="n">
        <x:v>0</x:v>
      </x:c>
      <x:c r="K62" s="157" t="n">
        <x:v>865</x:v>
      </x:c>
      <x:c r="L62" s="157" t="n">
        <x:v>0</x:v>
      </x:c>
      <x:c r="M62" s="166" t="n">
        <x:v>1271047701.5045412</x:v>
      </x:c>
      <x:c r="N62" s="166" t="n">
        <x:v>0</x:v>
      </x:c>
      <x:c r="O62" s="162" t="n">
        <x:v>0.02</x:v>
      </x:c>
      <x:c r="P62" s="166" t="n">
        <x:v>1271047701.5045412</x:v>
      </x:c>
      <x:c r="Q62" s="171" t="n">
        <x:f>M62+N62*'Threshold Simulator'!$B$7</x:f>
        <x:v>1271047701.5045412</x:v>
      </x:c>
    </x:row>
    <x:row r="63">
      <x:c r="A63" s="157" t="str">
        <x:v>Calibrated Random Forest</x:v>
      </x:c>
      <x:c r="B63" s="157" t="str">
        <x:v>test</x:v>
      </x:c>
      <x:c r="C63" s="162" t="n">
        <x:v>0.62</x:v>
      </x:c>
      <x:c r="D63" s="162" t="n">
        <x:v>0</x:v>
      </x:c>
      <x:c r="E63" s="162" t="n">
        <x:v>0</x:v>
      </x:c>
      <x:c r="F63" s="162" t="n">
        <x:v>0</x:v>
      </x:c>
      <x:c r="G63" s="162" t="n">
        <x:v>1</x:v>
      </x:c>
      <x:c r="H63" s="162" t="n">
        <x:v>1</x:v>
      </x:c>
      <x:c r="I63" s="157" t="n">
        <x:v>10212</x:v>
      </x:c>
      <x:c r="J63" s="157" t="n">
        <x:v>0</x:v>
      </x:c>
      <x:c r="K63" s="157" t="n">
        <x:v>865</x:v>
      </x:c>
      <x:c r="L63" s="157" t="n">
        <x:v>0</x:v>
      </x:c>
      <x:c r="M63" s="166" t="n">
        <x:v>1271047701.5045412</x:v>
      </x:c>
      <x:c r="N63" s="166" t="n">
        <x:v>0</x:v>
      </x:c>
      <x:c r="O63" s="162" t="n">
        <x:v>0.02</x:v>
      </x:c>
      <x:c r="P63" s="166" t="n">
        <x:v>1271047701.5045412</x:v>
      </x:c>
      <x:c r="Q63" s="171" t="n">
        <x:f>M63+N63*'Threshold Simulator'!$B$7</x:f>
        <x:v>1271047701.5045412</x:v>
      </x:c>
    </x:row>
    <x:row r="64">
      <x:c r="A64" s="157" t="str">
        <x:v>Calibrated Random Forest</x:v>
      </x:c>
      <x:c r="B64" s="157" t="str">
        <x:v>test</x:v>
      </x:c>
      <x:c r="C64" s="162" t="n">
        <x:v>0.63</x:v>
      </x:c>
      <x:c r="D64" s="162" t="n">
        <x:v>0</x:v>
      </x:c>
      <x:c r="E64" s="162" t="n">
        <x:v>0</x:v>
      </x:c>
      <x:c r="F64" s="162" t="n">
        <x:v>0</x:v>
      </x:c>
      <x:c r="G64" s="162" t="n">
        <x:v>1</x:v>
      </x:c>
      <x:c r="H64" s="162" t="n">
        <x:v>1</x:v>
      </x:c>
      <x:c r="I64" s="157" t="n">
        <x:v>10212</x:v>
      </x:c>
      <x:c r="J64" s="157" t="n">
        <x:v>0</x:v>
      </x:c>
      <x:c r="K64" s="157" t="n">
        <x:v>865</x:v>
      </x:c>
      <x:c r="L64" s="157" t="n">
        <x:v>0</x:v>
      </x:c>
      <x:c r="M64" s="166" t="n">
        <x:v>1271047701.5045412</x:v>
      </x:c>
      <x:c r="N64" s="166" t="n">
        <x:v>0</x:v>
      </x:c>
      <x:c r="O64" s="162" t="n">
        <x:v>0.02</x:v>
      </x:c>
      <x:c r="P64" s="166" t="n">
        <x:v>1271047701.5045412</x:v>
      </x:c>
      <x:c r="Q64" s="171" t="n">
        <x:f>M64+N64*'Threshold Simulator'!$B$7</x:f>
        <x:v>1271047701.5045412</x:v>
      </x:c>
    </x:row>
    <x:row r="65">
      <x:c r="A65" s="157" t="str">
        <x:v>Calibrated Random Forest</x:v>
      </x:c>
      <x:c r="B65" s="157" t="str">
        <x:v>test</x:v>
      </x:c>
      <x:c r="C65" s="162" t="n">
        <x:v>0.64</x:v>
      </x:c>
      <x:c r="D65" s="162" t="n">
        <x:v>0</x:v>
      </x:c>
      <x:c r="E65" s="162" t="n">
        <x:v>0</x:v>
      </x:c>
      <x:c r="F65" s="162" t="n">
        <x:v>0</x:v>
      </x:c>
      <x:c r="G65" s="162" t="n">
        <x:v>1</x:v>
      </x:c>
      <x:c r="H65" s="162" t="n">
        <x:v>1</x:v>
      </x:c>
      <x:c r="I65" s="157" t="n">
        <x:v>10212</x:v>
      </x:c>
      <x:c r="J65" s="157" t="n">
        <x:v>0</x:v>
      </x:c>
      <x:c r="K65" s="157" t="n">
        <x:v>865</x:v>
      </x:c>
      <x:c r="L65" s="157" t="n">
        <x:v>0</x:v>
      </x:c>
      <x:c r="M65" s="166" t="n">
        <x:v>1271047701.5045412</x:v>
      </x:c>
      <x:c r="N65" s="166" t="n">
        <x:v>0</x:v>
      </x:c>
      <x:c r="O65" s="162" t="n">
        <x:v>0.02</x:v>
      </x:c>
      <x:c r="P65" s="166" t="n">
        <x:v>1271047701.5045412</x:v>
      </x:c>
      <x:c r="Q65" s="171" t="n">
        <x:f>M65+N65*'Threshold Simulator'!$B$7</x:f>
        <x:v>1271047701.5045412</x:v>
      </x:c>
    </x:row>
    <x:row r="66">
      <x:c r="A66" s="157" t="str">
        <x:v>Calibrated Random Forest</x:v>
      </x:c>
      <x:c r="B66" s="157" t="str">
        <x:v>test</x:v>
      </x:c>
      <x:c r="C66" s="162" t="n">
        <x:v>0.65</x:v>
      </x:c>
      <x:c r="D66" s="162" t="n">
        <x:v>0</x:v>
      </x:c>
      <x:c r="E66" s="162" t="n">
        <x:v>0</x:v>
      </x:c>
      <x:c r="F66" s="162" t="n">
        <x:v>0</x:v>
      </x:c>
      <x:c r="G66" s="162" t="n">
        <x:v>1</x:v>
      </x:c>
      <x:c r="H66" s="162" t="n">
        <x:v>1</x:v>
      </x:c>
      <x:c r="I66" s="157" t="n">
        <x:v>10212</x:v>
      </x:c>
      <x:c r="J66" s="157" t="n">
        <x:v>0</x:v>
      </x:c>
      <x:c r="K66" s="157" t="n">
        <x:v>865</x:v>
      </x:c>
      <x:c r="L66" s="157" t="n">
        <x:v>0</x:v>
      </x:c>
      <x:c r="M66" s="166" t="n">
        <x:v>1271047701.5045412</x:v>
      </x:c>
      <x:c r="N66" s="166" t="n">
        <x:v>0</x:v>
      </x:c>
      <x:c r="O66" s="162" t="n">
        <x:v>0.02</x:v>
      </x:c>
      <x:c r="P66" s="166" t="n">
        <x:v>1271047701.5045412</x:v>
      </x:c>
      <x:c r="Q66" s="171" t="n">
        <x:f>M66+N66*'Threshold Simulator'!$B$7</x:f>
        <x:v>1271047701.5045412</x:v>
      </x:c>
    </x:row>
    <x:row r="67">
      <x:c r="A67" s="157" t="str">
        <x:v>Calibrated Random Forest</x:v>
      </x:c>
      <x:c r="B67" s="157" t="str">
        <x:v>test</x:v>
      </x:c>
      <x:c r="C67" s="162" t="n">
        <x:v>0.66</x:v>
      </x:c>
      <x:c r="D67" s="162" t="n">
        <x:v>0</x:v>
      </x:c>
      <x:c r="E67" s="162" t="n">
        <x:v>0</x:v>
      </x:c>
      <x:c r="F67" s="162" t="n">
        <x:v>0</x:v>
      </x:c>
      <x:c r="G67" s="162" t="n">
        <x:v>1</x:v>
      </x:c>
      <x:c r="H67" s="162" t="n">
        <x:v>1</x:v>
      </x:c>
      <x:c r="I67" s="157" t="n">
        <x:v>10212</x:v>
      </x:c>
      <x:c r="J67" s="157" t="n">
        <x:v>0</x:v>
      </x:c>
      <x:c r="K67" s="157" t="n">
        <x:v>865</x:v>
      </x:c>
      <x:c r="L67" s="157" t="n">
        <x:v>0</x:v>
      </x:c>
      <x:c r="M67" s="166" t="n">
        <x:v>1271047701.5045412</x:v>
      </x:c>
      <x:c r="N67" s="166" t="n">
        <x:v>0</x:v>
      </x:c>
      <x:c r="O67" s="162" t="n">
        <x:v>0.02</x:v>
      </x:c>
      <x:c r="P67" s="166" t="n">
        <x:v>1271047701.5045412</x:v>
      </x:c>
      <x:c r="Q67" s="171" t="n">
        <x:f>M67+N67*'Threshold Simulator'!$B$7</x:f>
        <x:v>1271047701.5045412</x:v>
      </x:c>
    </x:row>
    <x:row r="68">
      <x:c r="A68" s="157" t="str">
        <x:v>Calibrated Random Forest</x:v>
      </x:c>
      <x:c r="B68" s="157" t="str">
        <x:v>test</x:v>
      </x:c>
      <x:c r="C68" s="162" t="n">
        <x:v>0.67</x:v>
      </x:c>
      <x:c r="D68" s="162" t="n">
        <x:v>0</x:v>
      </x:c>
      <x:c r="E68" s="162" t="n">
        <x:v>0</x:v>
      </x:c>
      <x:c r="F68" s="162" t="n">
        <x:v>0</x:v>
      </x:c>
      <x:c r="G68" s="162" t="n">
        <x:v>1</x:v>
      </x:c>
      <x:c r="H68" s="162" t="n">
        <x:v>1</x:v>
      </x:c>
      <x:c r="I68" s="157" t="n">
        <x:v>10212</x:v>
      </x:c>
      <x:c r="J68" s="157" t="n">
        <x:v>0</x:v>
      </x:c>
      <x:c r="K68" s="157" t="n">
        <x:v>865</x:v>
      </x:c>
      <x:c r="L68" s="157" t="n">
        <x:v>0</x:v>
      </x:c>
      <x:c r="M68" s="166" t="n">
        <x:v>1271047701.5045412</x:v>
      </x:c>
      <x:c r="N68" s="166" t="n">
        <x:v>0</x:v>
      </x:c>
      <x:c r="O68" s="162" t="n">
        <x:v>0.02</x:v>
      </x:c>
      <x:c r="P68" s="166" t="n">
        <x:v>1271047701.5045412</x:v>
      </x:c>
      <x:c r="Q68" s="171" t="n">
        <x:f>M68+N68*'Threshold Simulator'!$B$7</x:f>
        <x:v>1271047701.5045412</x:v>
      </x:c>
    </x:row>
    <x:row r="69">
      <x:c r="A69" s="157" t="str">
        <x:v>Calibrated Random Forest</x:v>
      </x:c>
      <x:c r="B69" s="157" t="str">
        <x:v>test</x:v>
      </x:c>
      <x:c r="C69" s="162" t="n">
        <x:v>0.68</x:v>
      </x:c>
      <x:c r="D69" s="162" t="n">
        <x:v>0</x:v>
      </x:c>
      <x:c r="E69" s="162" t="n">
        <x:v>0</x:v>
      </x:c>
      <x:c r="F69" s="162" t="n">
        <x:v>0</x:v>
      </x:c>
      <x:c r="G69" s="162" t="n">
        <x:v>1</x:v>
      </x:c>
      <x:c r="H69" s="162" t="n">
        <x:v>1</x:v>
      </x:c>
      <x:c r="I69" s="157" t="n">
        <x:v>10212</x:v>
      </x:c>
      <x:c r="J69" s="157" t="n">
        <x:v>0</x:v>
      </x:c>
      <x:c r="K69" s="157" t="n">
        <x:v>865</x:v>
      </x:c>
      <x:c r="L69" s="157" t="n">
        <x:v>0</x:v>
      </x:c>
      <x:c r="M69" s="166" t="n">
        <x:v>1271047701.5045412</x:v>
      </x:c>
      <x:c r="N69" s="166" t="n">
        <x:v>0</x:v>
      </x:c>
      <x:c r="O69" s="162" t="n">
        <x:v>0.02</x:v>
      </x:c>
      <x:c r="P69" s="166" t="n">
        <x:v>1271047701.5045412</x:v>
      </x:c>
      <x:c r="Q69" s="171" t="n">
        <x:f>M69+N69*'Threshold Simulator'!$B$7</x:f>
        <x:v>1271047701.5045412</x:v>
      </x:c>
    </x:row>
    <x:row r="70">
      <x:c r="A70" s="157" t="str">
        <x:v>Calibrated Random Forest</x:v>
      </x:c>
      <x:c r="B70" s="157" t="str">
        <x:v>test</x:v>
      </x:c>
      <x:c r="C70" s="162" t="n">
        <x:v>0.69</x:v>
      </x:c>
      <x:c r="D70" s="162" t="n">
        <x:v>0</x:v>
      </x:c>
      <x:c r="E70" s="162" t="n">
        <x:v>0</x:v>
      </x:c>
      <x:c r="F70" s="162" t="n">
        <x:v>0</x:v>
      </x:c>
      <x:c r="G70" s="162" t="n">
        <x:v>1</x:v>
      </x:c>
      <x:c r="H70" s="162" t="n">
        <x:v>1</x:v>
      </x:c>
      <x:c r="I70" s="157" t="n">
        <x:v>10212</x:v>
      </x:c>
      <x:c r="J70" s="157" t="n">
        <x:v>0</x:v>
      </x:c>
      <x:c r="K70" s="157" t="n">
        <x:v>865</x:v>
      </x:c>
      <x:c r="L70" s="157" t="n">
        <x:v>0</x:v>
      </x:c>
      <x:c r="M70" s="166" t="n">
        <x:v>1271047701.5045412</x:v>
      </x:c>
      <x:c r="N70" s="166" t="n">
        <x:v>0</x:v>
      </x:c>
      <x:c r="O70" s="162" t="n">
        <x:v>0.02</x:v>
      </x:c>
      <x:c r="P70" s="166" t="n">
        <x:v>1271047701.5045412</x:v>
      </x:c>
      <x:c r="Q70" s="171" t="n">
        <x:f>M70+N70*'Threshold Simulator'!$B$7</x:f>
        <x:v>1271047701.5045412</x:v>
      </x:c>
    </x:row>
    <x:row r="71">
      <x:c r="A71" s="157" t="str">
        <x:v>Calibrated Random Forest</x:v>
      </x:c>
      <x:c r="B71" s="157" t="str">
        <x:v>test</x:v>
      </x:c>
      <x:c r="C71" s="162" t="n">
        <x:v>0.7</x:v>
      </x:c>
      <x:c r="D71" s="162" t="n">
        <x:v>0</x:v>
      </x:c>
      <x:c r="E71" s="162" t="n">
        <x:v>0</x:v>
      </x:c>
      <x:c r="F71" s="162" t="n">
        <x:v>0</x:v>
      </x:c>
      <x:c r="G71" s="162" t="n">
        <x:v>1</x:v>
      </x:c>
      <x:c r="H71" s="162" t="n">
        <x:v>1</x:v>
      </x:c>
      <x:c r="I71" s="157" t="n">
        <x:v>10212</x:v>
      </x:c>
      <x:c r="J71" s="157" t="n">
        <x:v>0</x:v>
      </x:c>
      <x:c r="K71" s="157" t="n">
        <x:v>865</x:v>
      </x:c>
      <x:c r="L71" s="157" t="n">
        <x:v>0</x:v>
      </x:c>
      <x:c r="M71" s="166" t="n">
        <x:v>1271047701.5045412</x:v>
      </x:c>
      <x:c r="N71" s="166" t="n">
        <x:v>0</x:v>
      </x:c>
      <x:c r="O71" s="162" t="n">
        <x:v>0.02</x:v>
      </x:c>
      <x:c r="P71" s="166" t="n">
        <x:v>1271047701.5045412</x:v>
      </x:c>
      <x:c r="Q71" s="171" t="n">
        <x:f>M71+N71*'Threshold Simulator'!$B$7</x:f>
        <x:v>1271047701.5045412</x:v>
      </x:c>
    </x:row>
    <x:row r="72">
      <x:c r="A72" s="157" t="str">
        <x:v>Calibrated Random Forest</x:v>
      </x:c>
      <x:c r="B72" s="157" t="str">
        <x:v>test</x:v>
      </x:c>
      <x:c r="C72" s="162" t="n">
        <x:v>0.71</x:v>
      </x:c>
      <x:c r="D72" s="162" t="n">
        <x:v>0</x:v>
      </x:c>
      <x:c r="E72" s="162" t="n">
        <x:v>0</x:v>
      </x:c>
      <x:c r="F72" s="162" t="n">
        <x:v>0</x:v>
      </x:c>
      <x:c r="G72" s="162" t="n">
        <x:v>1</x:v>
      </x:c>
      <x:c r="H72" s="162" t="n">
        <x:v>1</x:v>
      </x:c>
      <x:c r="I72" s="157" t="n">
        <x:v>10212</x:v>
      </x:c>
      <x:c r="J72" s="157" t="n">
        <x:v>0</x:v>
      </x:c>
      <x:c r="K72" s="157" t="n">
        <x:v>865</x:v>
      </x:c>
      <x:c r="L72" s="157" t="n">
        <x:v>0</x:v>
      </x:c>
      <x:c r="M72" s="166" t="n">
        <x:v>1271047701.5045412</x:v>
      </x:c>
      <x:c r="N72" s="166" t="n">
        <x:v>0</x:v>
      </x:c>
      <x:c r="O72" s="162" t="n">
        <x:v>0.02</x:v>
      </x:c>
      <x:c r="P72" s="166" t="n">
        <x:v>1271047701.5045412</x:v>
      </x:c>
      <x:c r="Q72" s="171" t="n">
        <x:f>M72+N72*'Threshold Simulator'!$B$7</x:f>
        <x:v>1271047701.5045412</x:v>
      </x:c>
    </x:row>
    <x:row r="73">
      <x:c r="A73" s="157" t="str">
        <x:v>Calibrated Random Forest</x:v>
      </x:c>
      <x:c r="B73" s="157" t="str">
        <x:v>test</x:v>
      </x:c>
      <x:c r="C73" s="162" t="n">
        <x:v>0.72</x:v>
      </x:c>
      <x:c r="D73" s="162" t="n">
        <x:v>0</x:v>
      </x:c>
      <x:c r="E73" s="162" t="n">
        <x:v>0</x:v>
      </x:c>
      <x:c r="F73" s="162" t="n">
        <x:v>0</x:v>
      </x:c>
      <x:c r="G73" s="162" t="n">
        <x:v>1</x:v>
      </x:c>
      <x:c r="H73" s="162" t="n">
        <x:v>1</x:v>
      </x:c>
      <x:c r="I73" s="157" t="n">
        <x:v>10212</x:v>
      </x:c>
      <x:c r="J73" s="157" t="n">
        <x:v>0</x:v>
      </x:c>
      <x:c r="K73" s="157" t="n">
        <x:v>865</x:v>
      </x:c>
      <x:c r="L73" s="157" t="n">
        <x:v>0</x:v>
      </x:c>
      <x:c r="M73" s="166" t="n">
        <x:v>1271047701.5045412</x:v>
      </x:c>
      <x:c r="N73" s="166" t="n">
        <x:v>0</x:v>
      </x:c>
      <x:c r="O73" s="162" t="n">
        <x:v>0.02</x:v>
      </x:c>
      <x:c r="P73" s="166" t="n">
        <x:v>1271047701.5045412</x:v>
      </x:c>
      <x:c r="Q73" s="171" t="n">
        <x:f>M73+N73*'Threshold Simulator'!$B$7</x:f>
        <x:v>1271047701.5045412</x:v>
      </x:c>
    </x:row>
    <x:row r="74">
      <x:c r="A74" s="157" t="str">
        <x:v>Calibrated Random Forest</x:v>
      </x:c>
      <x:c r="B74" s="157" t="str">
        <x:v>test</x:v>
      </x:c>
      <x:c r="C74" s="162" t="n">
        <x:v>0.73</x:v>
      </x:c>
      <x:c r="D74" s="162" t="n">
        <x:v>0</x:v>
      </x:c>
      <x:c r="E74" s="162" t="n">
        <x:v>0</x:v>
      </x:c>
      <x:c r="F74" s="162" t="n">
        <x:v>0</x:v>
      </x:c>
      <x:c r="G74" s="162" t="n">
        <x:v>1</x:v>
      </x:c>
      <x:c r="H74" s="162" t="n">
        <x:v>1</x:v>
      </x:c>
      <x:c r="I74" s="157" t="n">
        <x:v>10212</x:v>
      </x:c>
      <x:c r="J74" s="157" t="n">
        <x:v>0</x:v>
      </x:c>
      <x:c r="K74" s="157" t="n">
        <x:v>865</x:v>
      </x:c>
      <x:c r="L74" s="157" t="n">
        <x:v>0</x:v>
      </x:c>
      <x:c r="M74" s="166" t="n">
        <x:v>1271047701.5045412</x:v>
      </x:c>
      <x:c r="N74" s="166" t="n">
        <x:v>0</x:v>
      </x:c>
      <x:c r="O74" s="162" t="n">
        <x:v>0.02</x:v>
      </x:c>
      <x:c r="P74" s="166" t="n">
        <x:v>1271047701.5045412</x:v>
      </x:c>
      <x:c r="Q74" s="171" t="n">
        <x:f>M74+N74*'Threshold Simulator'!$B$7</x:f>
        <x:v>1271047701.5045412</x:v>
      </x:c>
    </x:row>
    <x:row r="75">
      <x:c r="A75" s="157" t="str">
        <x:v>Calibrated Random Forest</x:v>
      </x:c>
      <x:c r="B75" s="157" t="str">
        <x:v>test</x:v>
      </x:c>
      <x:c r="C75" s="162" t="n">
        <x:v>0.74</x:v>
      </x:c>
      <x:c r="D75" s="162" t="n">
        <x:v>0</x:v>
      </x:c>
      <x:c r="E75" s="162" t="n">
        <x:v>0</x:v>
      </x:c>
      <x:c r="F75" s="162" t="n">
        <x:v>0</x:v>
      </x:c>
      <x:c r="G75" s="162" t="n">
        <x:v>1</x:v>
      </x:c>
      <x:c r="H75" s="162" t="n">
        <x:v>1</x:v>
      </x:c>
      <x:c r="I75" s="157" t="n">
        <x:v>10212</x:v>
      </x:c>
      <x:c r="J75" s="157" t="n">
        <x:v>0</x:v>
      </x:c>
      <x:c r="K75" s="157" t="n">
        <x:v>865</x:v>
      </x:c>
      <x:c r="L75" s="157" t="n">
        <x:v>0</x:v>
      </x:c>
      <x:c r="M75" s="166" t="n">
        <x:v>1271047701.5045412</x:v>
      </x:c>
      <x:c r="N75" s="166" t="n">
        <x:v>0</x:v>
      </x:c>
      <x:c r="O75" s="162" t="n">
        <x:v>0.02</x:v>
      </x:c>
      <x:c r="P75" s="166" t="n">
        <x:v>1271047701.5045412</x:v>
      </x:c>
      <x:c r="Q75" s="171" t="n">
        <x:f>M75+N75*'Threshold Simulator'!$B$7</x:f>
        <x:v>1271047701.5045412</x:v>
      </x:c>
    </x:row>
    <x:row r="76">
      <x:c r="A76" s="157" t="str">
        <x:v>Calibrated Random Forest</x:v>
      </x:c>
      <x:c r="B76" s="157" t="str">
        <x:v>test</x:v>
      </x:c>
      <x:c r="C76" s="162" t="n">
        <x:v>0.75</x:v>
      </x:c>
      <x:c r="D76" s="162" t="n">
        <x:v>0</x:v>
      </x:c>
      <x:c r="E76" s="162" t="n">
        <x:v>0</x:v>
      </x:c>
      <x:c r="F76" s="162" t="n">
        <x:v>0</x:v>
      </x:c>
      <x:c r="G76" s="162" t="n">
        <x:v>1</x:v>
      </x:c>
      <x:c r="H76" s="162" t="n">
        <x:v>1</x:v>
      </x:c>
      <x:c r="I76" s="157" t="n">
        <x:v>10212</x:v>
      </x:c>
      <x:c r="J76" s="157" t="n">
        <x:v>0</x:v>
      </x:c>
      <x:c r="K76" s="157" t="n">
        <x:v>865</x:v>
      </x:c>
      <x:c r="L76" s="157" t="n">
        <x:v>0</x:v>
      </x:c>
      <x:c r="M76" s="166" t="n">
        <x:v>1271047701.5045412</x:v>
      </x:c>
      <x:c r="N76" s="166" t="n">
        <x:v>0</x:v>
      </x:c>
      <x:c r="O76" s="162" t="n">
        <x:v>0.02</x:v>
      </x:c>
      <x:c r="P76" s="166" t="n">
        <x:v>1271047701.5045412</x:v>
      </x:c>
      <x:c r="Q76" s="171" t="n">
        <x:f>M76+N76*'Threshold Simulator'!$B$7</x:f>
        <x:v>1271047701.5045412</x:v>
      </x:c>
    </x:row>
    <x:row r="77">
      <x:c r="A77" s="157" t="str">
        <x:v>Calibrated Random Forest</x:v>
      </x:c>
      <x:c r="B77" s="157" t="str">
        <x:v>test</x:v>
      </x:c>
      <x:c r="C77" s="162" t="n">
        <x:v>0.76</x:v>
      </x:c>
      <x:c r="D77" s="162" t="n">
        <x:v>0</x:v>
      </x:c>
      <x:c r="E77" s="162" t="n">
        <x:v>0</x:v>
      </x:c>
      <x:c r="F77" s="162" t="n">
        <x:v>0</x:v>
      </x:c>
      <x:c r="G77" s="162" t="n">
        <x:v>1</x:v>
      </x:c>
      <x:c r="H77" s="162" t="n">
        <x:v>1</x:v>
      </x:c>
      <x:c r="I77" s="157" t="n">
        <x:v>10212</x:v>
      </x:c>
      <x:c r="J77" s="157" t="n">
        <x:v>0</x:v>
      </x:c>
      <x:c r="K77" s="157" t="n">
        <x:v>865</x:v>
      </x:c>
      <x:c r="L77" s="157" t="n">
        <x:v>0</x:v>
      </x:c>
      <x:c r="M77" s="166" t="n">
        <x:v>1271047701.5045412</x:v>
      </x:c>
      <x:c r="N77" s="166" t="n">
        <x:v>0</x:v>
      </x:c>
      <x:c r="O77" s="162" t="n">
        <x:v>0.02</x:v>
      </x:c>
      <x:c r="P77" s="166" t="n">
        <x:v>1271047701.5045412</x:v>
      </x:c>
      <x:c r="Q77" s="171" t="n">
        <x:f>M77+N77*'Threshold Simulator'!$B$7</x:f>
        <x:v>1271047701.5045412</x:v>
      </x:c>
    </x:row>
    <x:row r="78">
      <x:c r="A78" s="157" t="str">
        <x:v>Calibrated Random Forest</x:v>
      </x:c>
      <x:c r="B78" s="157" t="str">
        <x:v>test</x:v>
      </x:c>
      <x:c r="C78" s="162" t="n">
        <x:v>0.77</x:v>
      </x:c>
      <x:c r="D78" s="162" t="n">
        <x:v>0</x:v>
      </x:c>
      <x:c r="E78" s="162" t="n">
        <x:v>0</x:v>
      </x:c>
      <x:c r="F78" s="162" t="n">
        <x:v>0</x:v>
      </x:c>
      <x:c r="G78" s="162" t="n">
        <x:v>1</x:v>
      </x:c>
      <x:c r="H78" s="162" t="n">
        <x:v>1</x:v>
      </x:c>
      <x:c r="I78" s="157" t="n">
        <x:v>10212</x:v>
      </x:c>
      <x:c r="J78" s="157" t="n">
        <x:v>0</x:v>
      </x:c>
      <x:c r="K78" s="157" t="n">
        <x:v>865</x:v>
      </x:c>
      <x:c r="L78" s="157" t="n">
        <x:v>0</x:v>
      </x:c>
      <x:c r="M78" s="166" t="n">
        <x:v>1271047701.5045412</x:v>
      </x:c>
      <x:c r="N78" s="166" t="n">
        <x:v>0</x:v>
      </x:c>
      <x:c r="O78" s="162" t="n">
        <x:v>0.02</x:v>
      </x:c>
      <x:c r="P78" s="166" t="n">
        <x:v>1271047701.5045412</x:v>
      </x:c>
      <x:c r="Q78" s="171" t="n">
        <x:f>M78+N78*'Threshold Simulator'!$B$7</x:f>
        <x:v>1271047701.5045412</x:v>
      </x:c>
    </x:row>
    <x:row r="79">
      <x:c r="A79" s="157" t="str">
        <x:v>Calibrated Random Forest</x:v>
      </x:c>
      <x:c r="B79" s="157" t="str">
        <x:v>test</x:v>
      </x:c>
      <x:c r="C79" s="162" t="n">
        <x:v>0.78</x:v>
      </x:c>
      <x:c r="D79" s="162" t="n">
        <x:v>0</x:v>
      </x:c>
      <x:c r="E79" s="162" t="n">
        <x:v>0</x:v>
      </x:c>
      <x:c r="F79" s="162" t="n">
        <x:v>0</x:v>
      </x:c>
      <x:c r="G79" s="162" t="n">
        <x:v>1</x:v>
      </x:c>
      <x:c r="H79" s="162" t="n">
        <x:v>1</x:v>
      </x:c>
      <x:c r="I79" s="157" t="n">
        <x:v>10212</x:v>
      </x:c>
      <x:c r="J79" s="157" t="n">
        <x:v>0</x:v>
      </x:c>
      <x:c r="K79" s="157" t="n">
        <x:v>865</x:v>
      </x:c>
      <x:c r="L79" s="157" t="n">
        <x:v>0</x:v>
      </x:c>
      <x:c r="M79" s="166" t="n">
        <x:v>1271047701.5045412</x:v>
      </x:c>
      <x:c r="N79" s="166" t="n">
        <x:v>0</x:v>
      </x:c>
      <x:c r="O79" s="162" t="n">
        <x:v>0.02</x:v>
      </x:c>
      <x:c r="P79" s="166" t="n">
        <x:v>1271047701.5045412</x:v>
      </x:c>
      <x:c r="Q79" s="171" t="n">
        <x:f>M79+N79*'Threshold Simulator'!$B$7</x:f>
        <x:v>1271047701.5045412</x:v>
      </x:c>
    </x:row>
    <x:row r="80">
      <x:c r="A80" s="157" t="str">
        <x:v>Calibrated Random Forest</x:v>
      </x:c>
      <x:c r="B80" s="157" t="str">
        <x:v>test</x:v>
      </x:c>
      <x:c r="C80" s="162" t="n">
        <x:v>0.79</x:v>
      </x:c>
      <x:c r="D80" s="162" t="n">
        <x:v>0</x:v>
      </x:c>
      <x:c r="E80" s="162" t="n">
        <x:v>0</x:v>
      </x:c>
      <x:c r="F80" s="162" t="n">
        <x:v>0</x:v>
      </x:c>
      <x:c r="G80" s="162" t="n">
        <x:v>1</x:v>
      </x:c>
      <x:c r="H80" s="162" t="n">
        <x:v>1</x:v>
      </x:c>
      <x:c r="I80" s="157" t="n">
        <x:v>10212</x:v>
      </x:c>
      <x:c r="J80" s="157" t="n">
        <x:v>0</x:v>
      </x:c>
      <x:c r="K80" s="157" t="n">
        <x:v>865</x:v>
      </x:c>
      <x:c r="L80" s="157" t="n">
        <x:v>0</x:v>
      </x:c>
      <x:c r="M80" s="166" t="n">
        <x:v>1271047701.5045412</x:v>
      </x:c>
      <x:c r="N80" s="166" t="n">
        <x:v>0</x:v>
      </x:c>
      <x:c r="O80" s="162" t="n">
        <x:v>0.02</x:v>
      </x:c>
      <x:c r="P80" s="166" t="n">
        <x:v>1271047701.5045412</x:v>
      </x:c>
      <x:c r="Q80" s="171" t="n">
        <x:f>M80+N80*'Threshold Simulator'!$B$7</x:f>
        <x:v>1271047701.5045412</x:v>
      </x:c>
    </x:row>
    <x:row r="81">
      <x:c r="A81" s="157" t="str">
        <x:v>Calibrated Random Forest</x:v>
      </x:c>
      <x:c r="B81" s="157" t="str">
        <x:v>test</x:v>
      </x:c>
      <x:c r="C81" s="162" t="n">
        <x:v>0.8</x:v>
      </x:c>
      <x:c r="D81" s="162" t="n">
        <x:v>0</x:v>
      </x:c>
      <x:c r="E81" s="162" t="n">
        <x:v>0</x:v>
      </x:c>
      <x:c r="F81" s="162" t="n">
        <x:v>0</x:v>
      </x:c>
      <x:c r="G81" s="162" t="n">
        <x:v>1</x:v>
      </x:c>
      <x:c r="H81" s="162" t="n">
        <x:v>1</x:v>
      </x:c>
      <x:c r="I81" s="157" t="n">
        <x:v>10212</x:v>
      </x:c>
      <x:c r="J81" s="157" t="n">
        <x:v>0</x:v>
      </x:c>
      <x:c r="K81" s="157" t="n">
        <x:v>865</x:v>
      </x:c>
      <x:c r="L81" s="157" t="n">
        <x:v>0</x:v>
      </x:c>
      <x:c r="M81" s="166" t="n">
        <x:v>1271047701.5045412</x:v>
      </x:c>
      <x:c r="N81" s="166" t="n">
        <x:v>0</x:v>
      </x:c>
      <x:c r="O81" s="162" t="n">
        <x:v>0.02</x:v>
      </x:c>
      <x:c r="P81" s="166" t="n">
        <x:v>1271047701.5045412</x:v>
      </x:c>
      <x:c r="Q81" s="171" t="n">
        <x:f>M81+N81*'Threshold Simulator'!$B$7</x:f>
        <x:v>1271047701.5045412</x:v>
      </x:c>
    </x:row>
    <x:row r="82">
      <x:c r="A82" s="157" t="str">
        <x:v>Calibrated Random Forest</x:v>
      </x:c>
      <x:c r="B82" s="157" t="str">
        <x:v>test</x:v>
      </x:c>
      <x:c r="C82" s="162" t="n">
        <x:v>0.81</x:v>
      </x:c>
      <x:c r="D82" s="162" t="n">
        <x:v>0</x:v>
      </x:c>
      <x:c r="E82" s="162" t="n">
        <x:v>0</x:v>
      </x:c>
      <x:c r="F82" s="162" t="n">
        <x:v>0</x:v>
      </x:c>
      <x:c r="G82" s="162" t="n">
        <x:v>1</x:v>
      </x:c>
      <x:c r="H82" s="162" t="n">
        <x:v>1</x:v>
      </x:c>
      <x:c r="I82" s="157" t="n">
        <x:v>10212</x:v>
      </x:c>
      <x:c r="J82" s="157" t="n">
        <x:v>0</x:v>
      </x:c>
      <x:c r="K82" s="157" t="n">
        <x:v>865</x:v>
      </x:c>
      <x:c r="L82" s="157" t="n">
        <x:v>0</x:v>
      </x:c>
      <x:c r="M82" s="166" t="n">
        <x:v>1271047701.5045412</x:v>
      </x:c>
      <x:c r="N82" s="166" t="n">
        <x:v>0</x:v>
      </x:c>
      <x:c r="O82" s="162" t="n">
        <x:v>0.02</x:v>
      </x:c>
      <x:c r="P82" s="166" t="n">
        <x:v>1271047701.5045412</x:v>
      </x:c>
      <x:c r="Q82" s="171" t="n">
        <x:f>M82+N82*'Threshold Simulator'!$B$7</x:f>
        <x:v>1271047701.5045412</x:v>
      </x:c>
    </x:row>
    <x:row r="83">
      <x:c r="A83" s="157" t="str">
        <x:v>Calibrated Random Forest</x:v>
      </x:c>
      <x:c r="B83" s="157" t="str">
        <x:v>test</x:v>
      </x:c>
      <x:c r="C83" s="162" t="n">
        <x:v>0.82</x:v>
      </x:c>
      <x:c r="D83" s="162" t="n">
        <x:v>0</x:v>
      </x:c>
      <x:c r="E83" s="162" t="n">
        <x:v>0</x:v>
      </x:c>
      <x:c r="F83" s="162" t="n">
        <x:v>0</x:v>
      </x:c>
      <x:c r="G83" s="162" t="n">
        <x:v>1</x:v>
      </x:c>
      <x:c r="H83" s="162" t="n">
        <x:v>1</x:v>
      </x:c>
      <x:c r="I83" s="157" t="n">
        <x:v>10212</x:v>
      </x:c>
      <x:c r="J83" s="157" t="n">
        <x:v>0</x:v>
      </x:c>
      <x:c r="K83" s="157" t="n">
        <x:v>865</x:v>
      </x:c>
      <x:c r="L83" s="157" t="n">
        <x:v>0</x:v>
      </x:c>
      <x:c r="M83" s="166" t="n">
        <x:v>1271047701.5045412</x:v>
      </x:c>
      <x:c r="N83" s="166" t="n">
        <x:v>0</x:v>
      </x:c>
      <x:c r="O83" s="162" t="n">
        <x:v>0.02</x:v>
      </x:c>
      <x:c r="P83" s="166" t="n">
        <x:v>1271047701.5045412</x:v>
      </x:c>
      <x:c r="Q83" s="171" t="n">
        <x:f>M83+N83*'Threshold Simulator'!$B$7</x:f>
        <x:v>1271047701.5045412</x:v>
      </x:c>
    </x:row>
    <x:row r="84">
      <x:c r="A84" s="157" t="str">
        <x:v>Calibrated Random Forest</x:v>
      </x:c>
      <x:c r="B84" s="157" t="str">
        <x:v>test</x:v>
      </x:c>
      <x:c r="C84" s="162" t="n">
        <x:v>0.83</x:v>
      </x:c>
      <x:c r="D84" s="162" t="n">
        <x:v>0</x:v>
      </x:c>
      <x:c r="E84" s="162" t="n">
        <x:v>0</x:v>
      </x:c>
      <x:c r="F84" s="162" t="n">
        <x:v>0</x:v>
      </x:c>
      <x:c r="G84" s="162" t="n">
        <x:v>1</x:v>
      </x:c>
      <x:c r="H84" s="162" t="n">
        <x:v>1</x:v>
      </x:c>
      <x:c r="I84" s="157" t="n">
        <x:v>10212</x:v>
      </x:c>
      <x:c r="J84" s="157" t="n">
        <x:v>0</x:v>
      </x:c>
      <x:c r="K84" s="157" t="n">
        <x:v>865</x:v>
      </x:c>
      <x:c r="L84" s="157" t="n">
        <x:v>0</x:v>
      </x:c>
      <x:c r="M84" s="166" t="n">
        <x:v>1271047701.5045412</x:v>
      </x:c>
      <x:c r="N84" s="166" t="n">
        <x:v>0</x:v>
      </x:c>
      <x:c r="O84" s="162" t="n">
        <x:v>0.02</x:v>
      </x:c>
      <x:c r="P84" s="166" t="n">
        <x:v>1271047701.5045412</x:v>
      </x:c>
      <x:c r="Q84" s="171" t="n">
        <x:f>M84+N84*'Threshold Simulator'!$B$7</x:f>
        <x:v>1271047701.5045412</x:v>
      </x:c>
    </x:row>
    <x:row r="85">
      <x:c r="A85" s="157" t="str">
        <x:v>Calibrated Random Forest</x:v>
      </x:c>
      <x:c r="B85" s="157" t="str">
        <x:v>test</x:v>
      </x:c>
      <x:c r="C85" s="162" t="n">
        <x:v>0.84</x:v>
      </x:c>
      <x:c r="D85" s="162" t="n">
        <x:v>0</x:v>
      </x:c>
      <x:c r="E85" s="162" t="n">
        <x:v>0</x:v>
      </x:c>
      <x:c r="F85" s="162" t="n">
        <x:v>0</x:v>
      </x:c>
      <x:c r="G85" s="162" t="n">
        <x:v>1</x:v>
      </x:c>
      <x:c r="H85" s="162" t="n">
        <x:v>1</x:v>
      </x:c>
      <x:c r="I85" s="157" t="n">
        <x:v>10212</x:v>
      </x:c>
      <x:c r="J85" s="157" t="n">
        <x:v>0</x:v>
      </x:c>
      <x:c r="K85" s="157" t="n">
        <x:v>865</x:v>
      </x:c>
      <x:c r="L85" s="157" t="n">
        <x:v>0</x:v>
      </x:c>
      <x:c r="M85" s="166" t="n">
        <x:v>1271047701.5045412</x:v>
      </x:c>
      <x:c r="N85" s="166" t="n">
        <x:v>0</x:v>
      </x:c>
      <x:c r="O85" s="162" t="n">
        <x:v>0.02</x:v>
      </x:c>
      <x:c r="P85" s="166" t="n">
        <x:v>1271047701.5045412</x:v>
      </x:c>
      <x:c r="Q85" s="171" t="n">
        <x:f>M85+N85*'Threshold Simulator'!$B$7</x:f>
        <x:v>1271047701.5045412</x:v>
      </x:c>
    </x:row>
    <x:row r="86">
      <x:c r="A86" s="157" t="str">
        <x:v>Calibrated Random Forest</x:v>
      </x:c>
      <x:c r="B86" s="157" t="str">
        <x:v>test</x:v>
      </x:c>
      <x:c r="C86" s="162" t="n">
        <x:v>0.85</x:v>
      </x:c>
      <x:c r="D86" s="162" t="n">
        <x:v>0</x:v>
      </x:c>
      <x:c r="E86" s="162" t="n">
        <x:v>0</x:v>
      </x:c>
      <x:c r="F86" s="162" t="n">
        <x:v>0</x:v>
      </x:c>
      <x:c r="G86" s="162" t="n">
        <x:v>1</x:v>
      </x:c>
      <x:c r="H86" s="162" t="n">
        <x:v>1</x:v>
      </x:c>
      <x:c r="I86" s="157" t="n">
        <x:v>10212</x:v>
      </x:c>
      <x:c r="J86" s="157" t="n">
        <x:v>0</x:v>
      </x:c>
      <x:c r="K86" s="157" t="n">
        <x:v>865</x:v>
      </x:c>
      <x:c r="L86" s="157" t="n">
        <x:v>0</x:v>
      </x:c>
      <x:c r="M86" s="166" t="n">
        <x:v>1271047701.5045412</x:v>
      </x:c>
      <x:c r="N86" s="166" t="n">
        <x:v>0</x:v>
      </x:c>
      <x:c r="O86" s="162" t="n">
        <x:v>0.02</x:v>
      </x:c>
      <x:c r="P86" s="166" t="n">
        <x:v>1271047701.5045412</x:v>
      </x:c>
      <x:c r="Q86" s="171" t="n">
        <x:f>M86+N86*'Threshold Simulator'!$B$7</x:f>
        <x:v>1271047701.5045412</x:v>
      </x:c>
    </x:row>
    <x:row r="87">
      <x:c r="A87" s="157" t="str">
        <x:v>Calibrated Random Forest</x:v>
      </x:c>
      <x:c r="B87" s="157" t="str">
        <x:v>test</x:v>
      </x:c>
      <x:c r="C87" s="162" t="n">
        <x:v>0.86</x:v>
      </x:c>
      <x:c r="D87" s="162" t="n">
        <x:v>0</x:v>
      </x:c>
      <x:c r="E87" s="162" t="n">
        <x:v>0</x:v>
      </x:c>
      <x:c r="F87" s="162" t="n">
        <x:v>0</x:v>
      </x:c>
      <x:c r="G87" s="162" t="n">
        <x:v>1</x:v>
      </x:c>
      <x:c r="H87" s="162" t="n">
        <x:v>1</x:v>
      </x:c>
      <x:c r="I87" s="157" t="n">
        <x:v>10212</x:v>
      </x:c>
      <x:c r="J87" s="157" t="n">
        <x:v>0</x:v>
      </x:c>
      <x:c r="K87" s="157" t="n">
        <x:v>865</x:v>
      </x:c>
      <x:c r="L87" s="157" t="n">
        <x:v>0</x:v>
      </x:c>
      <x:c r="M87" s="166" t="n">
        <x:v>1271047701.5045412</x:v>
      </x:c>
      <x:c r="N87" s="166" t="n">
        <x:v>0</x:v>
      </x:c>
      <x:c r="O87" s="162" t="n">
        <x:v>0.02</x:v>
      </x:c>
      <x:c r="P87" s="166" t="n">
        <x:v>1271047701.5045412</x:v>
      </x:c>
      <x:c r="Q87" s="171" t="n">
        <x:f>M87+N87*'Threshold Simulator'!$B$7</x:f>
        <x:v>1271047701.5045412</x:v>
      </x:c>
    </x:row>
    <x:row r="88">
      <x:c r="A88" s="157" t="str">
        <x:v>Calibrated Random Forest</x:v>
      </x:c>
      <x:c r="B88" s="157" t="str">
        <x:v>test</x:v>
      </x:c>
      <x:c r="C88" s="162" t="n">
        <x:v>0.87</x:v>
      </x:c>
      <x:c r="D88" s="162" t="n">
        <x:v>0</x:v>
      </x:c>
      <x:c r="E88" s="162" t="n">
        <x:v>0</x:v>
      </x:c>
      <x:c r="F88" s="162" t="n">
        <x:v>0</x:v>
      </x:c>
      <x:c r="G88" s="162" t="n">
        <x:v>1</x:v>
      </x:c>
      <x:c r="H88" s="162" t="n">
        <x:v>1</x:v>
      </x:c>
      <x:c r="I88" s="157" t="n">
        <x:v>10212</x:v>
      </x:c>
      <x:c r="J88" s="157" t="n">
        <x:v>0</x:v>
      </x:c>
      <x:c r="K88" s="157" t="n">
        <x:v>865</x:v>
      </x:c>
      <x:c r="L88" s="157" t="n">
        <x:v>0</x:v>
      </x:c>
      <x:c r="M88" s="166" t="n">
        <x:v>1271047701.5045412</x:v>
      </x:c>
      <x:c r="N88" s="166" t="n">
        <x:v>0</x:v>
      </x:c>
      <x:c r="O88" s="162" t="n">
        <x:v>0.02</x:v>
      </x:c>
      <x:c r="P88" s="166" t="n">
        <x:v>1271047701.5045412</x:v>
      </x:c>
      <x:c r="Q88" s="171" t="n">
        <x:f>M88+N88*'Threshold Simulator'!$B$7</x:f>
        <x:v>1271047701.5045412</x:v>
      </x:c>
    </x:row>
    <x:row r="89">
      <x:c r="A89" s="157" t="str">
        <x:v>Calibrated Random Forest</x:v>
      </x:c>
      <x:c r="B89" s="157" t="str">
        <x:v>test</x:v>
      </x:c>
      <x:c r="C89" s="162" t="n">
        <x:v>0.88</x:v>
      </x:c>
      <x:c r="D89" s="162" t="n">
        <x:v>0</x:v>
      </x:c>
      <x:c r="E89" s="162" t="n">
        <x:v>0</x:v>
      </x:c>
      <x:c r="F89" s="162" t="n">
        <x:v>0</x:v>
      </x:c>
      <x:c r="G89" s="162" t="n">
        <x:v>1</x:v>
      </x:c>
      <x:c r="H89" s="162" t="n">
        <x:v>1</x:v>
      </x:c>
      <x:c r="I89" s="157" t="n">
        <x:v>10212</x:v>
      </x:c>
      <x:c r="J89" s="157" t="n">
        <x:v>0</x:v>
      </x:c>
      <x:c r="K89" s="157" t="n">
        <x:v>865</x:v>
      </x:c>
      <x:c r="L89" s="157" t="n">
        <x:v>0</x:v>
      </x:c>
      <x:c r="M89" s="166" t="n">
        <x:v>1271047701.5045412</x:v>
      </x:c>
      <x:c r="N89" s="166" t="n">
        <x:v>0</x:v>
      </x:c>
      <x:c r="O89" s="162" t="n">
        <x:v>0.02</x:v>
      </x:c>
      <x:c r="P89" s="166" t="n">
        <x:v>1271047701.5045412</x:v>
      </x:c>
      <x:c r="Q89" s="171" t="n">
        <x:f>M89+N89*'Threshold Simulator'!$B$7</x:f>
        <x:v>1271047701.5045412</x:v>
      </x:c>
    </x:row>
    <x:row r="90">
      <x:c r="A90" s="157" t="str">
        <x:v>Calibrated Random Forest</x:v>
      </x:c>
      <x:c r="B90" s="157" t="str">
        <x:v>test</x:v>
      </x:c>
      <x:c r="C90" s="162" t="n">
        <x:v>0.89</x:v>
      </x:c>
      <x:c r="D90" s="162" t="n">
        <x:v>0</x:v>
      </x:c>
      <x:c r="E90" s="162" t="n">
        <x:v>0</x:v>
      </x:c>
      <x:c r="F90" s="162" t="n">
        <x:v>0</x:v>
      </x:c>
      <x:c r="G90" s="162" t="n">
        <x:v>1</x:v>
      </x:c>
      <x:c r="H90" s="162" t="n">
        <x:v>1</x:v>
      </x:c>
      <x:c r="I90" s="157" t="n">
        <x:v>10212</x:v>
      </x:c>
      <x:c r="J90" s="157" t="n">
        <x:v>0</x:v>
      </x:c>
      <x:c r="K90" s="157" t="n">
        <x:v>865</x:v>
      </x:c>
      <x:c r="L90" s="157" t="n">
        <x:v>0</x:v>
      </x:c>
      <x:c r="M90" s="166" t="n">
        <x:v>1271047701.5045412</x:v>
      </x:c>
      <x:c r="N90" s="166" t="n">
        <x:v>0</x:v>
      </x:c>
      <x:c r="O90" s="162" t="n">
        <x:v>0.02</x:v>
      </x:c>
      <x:c r="P90" s="166" t="n">
        <x:v>1271047701.5045412</x:v>
      </x:c>
      <x:c r="Q90" s="171" t="n">
        <x:f>M90+N90*'Threshold Simulator'!$B$7</x:f>
        <x:v>1271047701.5045412</x:v>
      </x:c>
    </x:row>
    <x:row r="91">
      <x:c r="A91" s="157" t="str">
        <x:v>Calibrated Random Forest</x:v>
      </x:c>
      <x:c r="B91" s="157" t="str">
        <x:v>test</x:v>
      </x:c>
      <x:c r="C91" s="162" t="n">
        <x:v>0.9</x:v>
      </x:c>
      <x:c r="D91" s="162" t="n">
        <x:v>0</x:v>
      </x:c>
      <x:c r="E91" s="162" t="n">
        <x:v>0</x:v>
      </x:c>
      <x:c r="F91" s="162" t="n">
        <x:v>0</x:v>
      </x:c>
      <x:c r="G91" s="162" t="n">
        <x:v>1</x:v>
      </x:c>
      <x:c r="H91" s="162" t="n">
        <x:v>1</x:v>
      </x:c>
      <x:c r="I91" s="157" t="n">
        <x:v>10212</x:v>
      </x:c>
      <x:c r="J91" s="157" t="n">
        <x:v>0</x:v>
      </x:c>
      <x:c r="K91" s="157" t="n">
        <x:v>865</x:v>
      </x:c>
      <x:c r="L91" s="157" t="n">
        <x:v>0</x:v>
      </x:c>
      <x:c r="M91" s="166" t="n">
        <x:v>1271047701.5045412</x:v>
      </x:c>
      <x:c r="N91" s="166" t="n">
        <x:v>0</x:v>
      </x:c>
      <x:c r="O91" s="162" t="n">
        <x:v>0.02</x:v>
      </x:c>
      <x:c r="P91" s="166" t="n">
        <x:v>1271047701.5045412</x:v>
      </x:c>
      <x:c r="Q91" s="171" t="n">
        <x:f>M91+N91*'Threshold Simulator'!$B$7</x:f>
        <x:v>1271047701.5045412</x:v>
      </x:c>
    </x:row>
    <x:row r="92">
      <x:c r="A92" s="157" t="str">
        <x:v>Calibrated Random Forest</x:v>
      </x:c>
      <x:c r="B92" s="157" t="str">
        <x:v>test</x:v>
      </x:c>
      <x:c r="C92" s="162" t="n">
        <x:v>0.91</x:v>
      </x:c>
      <x:c r="D92" s="162" t="n">
        <x:v>0</x:v>
      </x:c>
      <x:c r="E92" s="162" t="n">
        <x:v>0</x:v>
      </x:c>
      <x:c r="F92" s="162" t="n">
        <x:v>0</x:v>
      </x:c>
      <x:c r="G92" s="162" t="n">
        <x:v>1</x:v>
      </x:c>
      <x:c r="H92" s="162" t="n">
        <x:v>1</x:v>
      </x:c>
      <x:c r="I92" s="157" t="n">
        <x:v>10212</x:v>
      </x:c>
      <x:c r="J92" s="157" t="n">
        <x:v>0</x:v>
      </x:c>
      <x:c r="K92" s="157" t="n">
        <x:v>865</x:v>
      </x:c>
      <x:c r="L92" s="157" t="n">
        <x:v>0</x:v>
      </x:c>
      <x:c r="M92" s="166" t="n">
        <x:v>1271047701.5045412</x:v>
      </x:c>
      <x:c r="N92" s="166" t="n">
        <x:v>0</x:v>
      </x:c>
      <x:c r="O92" s="162" t="n">
        <x:v>0.02</x:v>
      </x:c>
      <x:c r="P92" s="166" t="n">
        <x:v>1271047701.5045412</x:v>
      </x:c>
      <x:c r="Q92" s="171" t="n">
        <x:f>M92+N92*'Threshold Simulator'!$B$7</x:f>
        <x:v>1271047701.5045412</x:v>
      </x:c>
    </x:row>
    <x:row r="93">
      <x:c r="A93" s="157" t="str">
        <x:v>Calibrated Random Forest</x:v>
      </x:c>
      <x:c r="B93" s="157" t="str">
        <x:v>test</x:v>
      </x:c>
      <x:c r="C93" s="162" t="n">
        <x:v>0.92</x:v>
      </x:c>
      <x:c r="D93" s="162" t="n">
        <x:v>0</x:v>
      </x:c>
      <x:c r="E93" s="162" t="n">
        <x:v>0</x:v>
      </x:c>
      <x:c r="F93" s="162" t="n">
        <x:v>0</x:v>
      </x:c>
      <x:c r="G93" s="162" t="n">
        <x:v>1</x:v>
      </x:c>
      <x:c r="H93" s="162" t="n">
        <x:v>1</x:v>
      </x:c>
      <x:c r="I93" s="157" t="n">
        <x:v>10212</x:v>
      </x:c>
      <x:c r="J93" s="157" t="n">
        <x:v>0</x:v>
      </x:c>
      <x:c r="K93" s="157" t="n">
        <x:v>865</x:v>
      </x:c>
      <x:c r="L93" s="157" t="n">
        <x:v>0</x:v>
      </x:c>
      <x:c r="M93" s="166" t="n">
        <x:v>1271047701.5045412</x:v>
      </x:c>
      <x:c r="N93" s="166" t="n">
        <x:v>0</x:v>
      </x:c>
      <x:c r="O93" s="162" t="n">
        <x:v>0.02</x:v>
      </x:c>
      <x:c r="P93" s="166" t="n">
        <x:v>1271047701.5045412</x:v>
      </x:c>
      <x:c r="Q93" s="171" t="n">
        <x:f>M93+N93*'Threshold Simulator'!$B$7</x:f>
        <x:v>1271047701.5045412</x:v>
      </x:c>
    </x:row>
    <x:row r="94">
      <x:c r="A94" s="157" t="str">
        <x:v>Calibrated Random Forest</x:v>
      </x:c>
      <x:c r="B94" s="157" t="str">
        <x:v>test</x:v>
      </x:c>
      <x:c r="C94" s="162" t="n">
        <x:v>0.93</x:v>
      </x:c>
      <x:c r="D94" s="162" t="n">
        <x:v>0</x:v>
      </x:c>
      <x:c r="E94" s="162" t="n">
        <x:v>0</x:v>
      </x:c>
      <x:c r="F94" s="162" t="n">
        <x:v>0</x:v>
      </x:c>
      <x:c r="G94" s="162" t="n">
        <x:v>1</x:v>
      </x:c>
      <x:c r="H94" s="162" t="n">
        <x:v>1</x:v>
      </x:c>
      <x:c r="I94" s="157" t="n">
        <x:v>10212</x:v>
      </x:c>
      <x:c r="J94" s="157" t="n">
        <x:v>0</x:v>
      </x:c>
      <x:c r="K94" s="157" t="n">
        <x:v>865</x:v>
      </x:c>
      <x:c r="L94" s="157" t="n">
        <x:v>0</x:v>
      </x:c>
      <x:c r="M94" s="166" t="n">
        <x:v>1271047701.5045412</x:v>
      </x:c>
      <x:c r="N94" s="166" t="n">
        <x:v>0</x:v>
      </x:c>
      <x:c r="O94" s="162" t="n">
        <x:v>0.02</x:v>
      </x:c>
      <x:c r="P94" s="166" t="n">
        <x:v>1271047701.5045412</x:v>
      </x:c>
      <x:c r="Q94" s="171" t="n">
        <x:f>M94+N94*'Threshold Simulator'!$B$7</x:f>
        <x:v>1271047701.5045412</x:v>
      </x:c>
    </x:row>
    <x:row r="95">
      <x:c r="A95" s="157" t="str">
        <x:v>Calibrated Random Forest</x:v>
      </x:c>
      <x:c r="B95" s="157" t="str">
        <x:v>test</x:v>
      </x:c>
      <x:c r="C95" s="162" t="n">
        <x:v>0.94</x:v>
      </x:c>
      <x:c r="D95" s="162" t="n">
        <x:v>0</x:v>
      </x:c>
      <x:c r="E95" s="162" t="n">
        <x:v>0</x:v>
      </x:c>
      <x:c r="F95" s="162" t="n">
        <x:v>0</x:v>
      </x:c>
      <x:c r="G95" s="162" t="n">
        <x:v>1</x:v>
      </x:c>
      <x:c r="H95" s="162" t="n">
        <x:v>1</x:v>
      </x:c>
      <x:c r="I95" s="157" t="n">
        <x:v>10212</x:v>
      </x:c>
      <x:c r="J95" s="157" t="n">
        <x:v>0</x:v>
      </x:c>
      <x:c r="K95" s="157" t="n">
        <x:v>865</x:v>
      </x:c>
      <x:c r="L95" s="157" t="n">
        <x:v>0</x:v>
      </x:c>
      <x:c r="M95" s="166" t="n">
        <x:v>1271047701.5045412</x:v>
      </x:c>
      <x:c r="N95" s="166" t="n">
        <x:v>0</x:v>
      </x:c>
      <x:c r="O95" s="162" t="n">
        <x:v>0.02</x:v>
      </x:c>
      <x:c r="P95" s="166" t="n">
        <x:v>1271047701.5045412</x:v>
      </x:c>
      <x:c r="Q95" s="171" t="n">
        <x:f>M95+N95*'Threshold Simulator'!$B$7</x:f>
        <x:v>1271047701.5045412</x:v>
      </x:c>
    </x:row>
    <x:row r="96">
      <x:c r="A96" s="157" t="str">
        <x:v>Calibrated Random Forest</x:v>
      </x:c>
      <x:c r="B96" s="157" t="str">
        <x:v>test</x:v>
      </x:c>
      <x:c r="C96" s="162" t="n">
        <x:v>0.95</x:v>
      </x:c>
      <x:c r="D96" s="162" t="n">
        <x:v>0</x:v>
      </x:c>
      <x:c r="E96" s="162" t="n">
        <x:v>0</x:v>
      </x:c>
      <x:c r="F96" s="162" t="n">
        <x:v>0</x:v>
      </x:c>
      <x:c r="G96" s="162" t="n">
        <x:v>1</x:v>
      </x:c>
      <x:c r="H96" s="162" t="n">
        <x:v>1</x:v>
      </x:c>
      <x:c r="I96" s="157" t="n">
        <x:v>10212</x:v>
      </x:c>
      <x:c r="J96" s="157" t="n">
        <x:v>0</x:v>
      </x:c>
      <x:c r="K96" s="157" t="n">
        <x:v>865</x:v>
      </x:c>
      <x:c r="L96" s="157" t="n">
        <x:v>0</x:v>
      </x:c>
      <x:c r="M96" s="166" t="n">
        <x:v>1271047701.5045412</x:v>
      </x:c>
      <x:c r="N96" s="166" t="n">
        <x:v>0</x:v>
      </x:c>
      <x:c r="O96" s="162" t="n">
        <x:v>0.02</x:v>
      </x:c>
      <x:c r="P96" s="166" t="n">
        <x:v>1271047701.5045412</x:v>
      </x:c>
      <x:c r="Q96" s="171" t="n">
        <x:f>M96+N96*'Threshold Simulator'!$B$7</x:f>
        <x:v>1271047701.5045412</x:v>
      </x:c>
    </x:row>
    <x:row r="97">
      <x:c r="A97" s="157" t="str">
        <x:v>Calibrated Random Forest</x:v>
      </x:c>
      <x:c r="B97" s="157" t="str">
        <x:v>test</x:v>
      </x:c>
      <x:c r="C97" s="162" t="n">
        <x:v>0.96</x:v>
      </x:c>
      <x:c r="D97" s="162" t="n">
        <x:v>0</x:v>
      </x:c>
      <x:c r="E97" s="162" t="n">
        <x:v>0</x:v>
      </x:c>
      <x:c r="F97" s="162" t="n">
        <x:v>0</x:v>
      </x:c>
      <x:c r="G97" s="162" t="n">
        <x:v>1</x:v>
      </x:c>
      <x:c r="H97" s="162" t="n">
        <x:v>1</x:v>
      </x:c>
      <x:c r="I97" s="157" t="n">
        <x:v>10212</x:v>
      </x:c>
      <x:c r="J97" s="157" t="n">
        <x:v>0</x:v>
      </x:c>
      <x:c r="K97" s="157" t="n">
        <x:v>865</x:v>
      </x:c>
      <x:c r="L97" s="157" t="n">
        <x:v>0</x:v>
      </x:c>
      <x:c r="M97" s="166" t="n">
        <x:v>1271047701.5045412</x:v>
      </x:c>
      <x:c r="N97" s="166" t="n">
        <x:v>0</x:v>
      </x:c>
      <x:c r="O97" s="162" t="n">
        <x:v>0.02</x:v>
      </x:c>
      <x:c r="P97" s="166" t="n">
        <x:v>1271047701.5045412</x:v>
      </x:c>
      <x:c r="Q97" s="171" t="n">
        <x:f>M97+N97*'Threshold Simulator'!$B$7</x:f>
        <x:v>1271047701.5045412</x:v>
      </x:c>
    </x:row>
    <x:row r="98">
      <x:c r="A98" s="157" t="str">
        <x:v>Calibrated Random Forest</x:v>
      </x:c>
      <x:c r="B98" s="157" t="str">
        <x:v>test</x:v>
      </x:c>
      <x:c r="C98" s="162" t="n">
        <x:v>0.97</x:v>
      </x:c>
      <x:c r="D98" s="162" t="n">
        <x:v>0</x:v>
      </x:c>
      <x:c r="E98" s="162" t="n">
        <x:v>0</x:v>
      </x:c>
      <x:c r="F98" s="162" t="n">
        <x:v>0</x:v>
      </x:c>
      <x:c r="G98" s="162" t="n">
        <x:v>1</x:v>
      </x:c>
      <x:c r="H98" s="162" t="n">
        <x:v>1</x:v>
      </x:c>
      <x:c r="I98" s="157" t="n">
        <x:v>10212</x:v>
      </x:c>
      <x:c r="J98" s="157" t="n">
        <x:v>0</x:v>
      </x:c>
      <x:c r="K98" s="157" t="n">
        <x:v>865</x:v>
      </x:c>
      <x:c r="L98" s="157" t="n">
        <x:v>0</x:v>
      </x:c>
      <x:c r="M98" s="166" t="n">
        <x:v>1271047701.5045412</x:v>
      </x:c>
      <x:c r="N98" s="166" t="n">
        <x:v>0</x:v>
      </x:c>
      <x:c r="O98" s="162" t="n">
        <x:v>0.02</x:v>
      </x:c>
      <x:c r="P98" s="166" t="n">
        <x:v>1271047701.5045412</x:v>
      </x:c>
      <x:c r="Q98" s="171" t="n">
        <x:f>M98+N98*'Threshold Simulator'!$B$7</x:f>
        <x:v>1271047701.5045412</x:v>
      </x:c>
    </x:row>
    <x:row r="99">
      <x:c r="A99" s="157" t="str">
        <x:v>Calibrated Random Forest</x:v>
      </x:c>
      <x:c r="B99" s="157" t="str">
        <x:v>test</x:v>
      </x:c>
      <x:c r="C99" s="162" t="n">
        <x:v>0.98</x:v>
      </x:c>
      <x:c r="D99" s="162" t="n">
        <x:v>0</x:v>
      </x:c>
      <x:c r="E99" s="162" t="n">
        <x:v>0</x:v>
      </x:c>
      <x:c r="F99" s="162" t="n">
        <x:v>0</x:v>
      </x:c>
      <x:c r="G99" s="162" t="n">
        <x:v>1</x:v>
      </x:c>
      <x:c r="H99" s="162" t="n">
        <x:v>1</x:v>
      </x:c>
      <x:c r="I99" s="157" t="n">
        <x:v>10212</x:v>
      </x:c>
      <x:c r="J99" s="157" t="n">
        <x:v>0</x:v>
      </x:c>
      <x:c r="K99" s="157" t="n">
        <x:v>865</x:v>
      </x:c>
      <x:c r="L99" s="157" t="n">
        <x:v>0</x:v>
      </x:c>
      <x:c r="M99" s="166" t="n">
        <x:v>1271047701.5045412</x:v>
      </x:c>
      <x:c r="N99" s="166" t="n">
        <x:v>0</x:v>
      </x:c>
      <x:c r="O99" s="162" t="n">
        <x:v>0.02</x:v>
      </x:c>
      <x:c r="P99" s="166" t="n">
        <x:v>1271047701.5045412</x:v>
      </x:c>
      <x:c r="Q99" s="171" t="n">
        <x:f>M99+N99*'Threshold Simulator'!$B$7</x:f>
        <x:v>1271047701.5045412</x:v>
      </x:c>
    </x:row>
    <x:row r="100">
      <x:c r="A100" s="157" t="str">
        <x:v>Calibrated Random Forest</x:v>
      </x:c>
      <x:c r="B100" s="157" t="str">
        <x:v>test</x:v>
      </x:c>
      <x:c r="C100" s="162" t="n">
        <x:v>0.99</x:v>
      </x:c>
      <x:c r="D100" s="162" t="n">
        <x:v>0</x:v>
      </x:c>
      <x:c r="E100" s="162" t="n">
        <x:v>0</x:v>
      </x:c>
      <x:c r="F100" s="162" t="n">
        <x:v>0</x:v>
      </x:c>
      <x:c r="G100" s="162" t="n">
        <x:v>1</x:v>
      </x:c>
      <x:c r="H100" s="162" t="n">
        <x:v>1</x:v>
      </x:c>
      <x:c r="I100" s="157" t="n">
        <x:v>10212</x:v>
      </x:c>
      <x:c r="J100" s="157" t="n">
        <x:v>0</x:v>
      </x:c>
      <x:c r="K100" s="157" t="n">
        <x:v>865</x:v>
      </x:c>
      <x:c r="L100" s="157" t="n">
        <x:v>0</x:v>
      </x:c>
      <x:c r="M100" s="166" t="n">
        <x:v>1271047701.5045412</x:v>
      </x:c>
      <x:c r="N100" s="166" t="n">
        <x:v>0</x:v>
      </x:c>
      <x:c r="O100" s="162" t="n">
        <x:v>0.02</x:v>
      </x:c>
      <x:c r="P100" s="166" t="n">
        <x:v>1271047701.5045412</x:v>
      </x:c>
      <x:c r="Q100" s="171" t="n">
        <x:f>M100+N100*'Threshold Simulator'!$B$7</x:f>
        <x:v>1271047701.5045412</x:v>
      </x:c>
    </x:row>
  </x:sheetData>
  <x:pageMargins left="0.7" right="0.7" top="0.75" bottom="0.75" header="0.3" footer="0.3"/>
  <x:tableParts count="1">
    <x:tablePart xmlns:r="http://schemas.openxmlformats.org/officeDocument/2006/relationships" r:id="R441f49680aad41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58" t="str">
        <x:v>loans</x:v>
      </x:c>
      <x:c r="B1" s="159" t="str">
        <x:v>total_ead</x:v>
      </x:c>
      <x:c r="C1" s="159" t="str">
        <x:v>defaults</x:v>
      </x:c>
      <x:c r="D1" s="159" t="str">
        <x:v>observed_default_rate</x:v>
      </x:c>
      <x:c r="E1" s="159" t="str">
        <x:v>existing_expected_loss</x:v>
      </x:c>
      <x:c r="F1" s="159" t="str">
        <x:v>term_risk_loss_proxy</x:v>
      </x:c>
      <x:c r="G1" s="159" t="str">
        <x:v>avg_credit_score</x:v>
      </x:c>
      <x:c r="H1" s="159" t="str">
        <x:v>avg_model_probability</x:v>
      </x:c>
      <x:c r="I1" s="160" t="str">
        <x:v>avg_existing_pd</x:v>
      </x:c>
    </x:row>
    <x:row r="2">
      <x:c r="A2" s="157" t="n">
        <x:v>50000</x:v>
      </x:c>
      <x:c r="B2" s="166" t="n">
        <x:v>164930233732.19</x:v>
      </x:c>
      <x:c r="C2" s="157" t="n">
        <x:v>6950</x:v>
      </x:c>
      <x:c r="D2" s="162" t="n">
        <x:v>0.139</x:v>
      </x:c>
      <x:c r="E2" s="166" t="n">
        <x:v>1923786053.37</x:v>
      </x:c>
      <x:c r="F2" s="166" t="n">
        <x:v>14295499240.339998</x:v>
      </x:c>
      <x:c r="G2" s="157" t="n">
        <x:v>714.98256</x:v>
      </x:c>
      <x:c r="H2" s="162" t="n">
        <x:v>0.16694637191999998</x:v>
      </x:c>
      <x:c r="I2" s="162" t="n">
        <x:v>0.022461477779999996</x:v>
      </x:c>
    </x:row>
  </x:sheetData>
  <x:pageMargins left="0.7" right="0.7" top="0.75" bottom="0.75" header="0.3" footer="0.3"/>
  <x:tableParts count="1">
    <x:tablePart xmlns:r="http://schemas.openxmlformats.org/officeDocument/2006/relationships" r:id="R31d9fd53287149c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58" t="str">
        <x:v>clean_loan_rows</x:v>
      </x:c>
      <x:c r="B1" s="159" t="str">
        <x:v>prediction_rows</x:v>
      </x:c>
      <x:c r="C1" s="159" t="str">
        <x:v>test_rows</x:v>
      </x:c>
      <x:c r="D1" s="159" t="str">
        <x:v>missing_probabilities</x:v>
      </x:c>
      <x:c r="E1" s="159" t="str">
        <x:v>invalid_probabilities</x:v>
      </x:c>
      <x:c r="F1" s="159" t="str">
        <x:v>invalid_target_values</x:v>
      </x:c>
      <x:c r="G1" s="159" t="str">
        <x:v>probability_min</x:v>
      </x:c>
      <x:c r="H1" s="160" t="str">
        <x:v>probability_max</x:v>
      </x:c>
    </x:row>
    <x:row r="2">
      <x:c r="A2" s="157" t="n">
        <x:v>50000</x:v>
      </x:c>
      <x:c r="B2" s="157" t="n">
        <x:v>50000</x:v>
      </x:c>
      <x:c r="C2" s="157" t="n">
        <x:v>11077</x:v>
      </x:c>
      <x:c r="D2" s="157" t="n">
        <x:v>0</x:v>
      </x:c>
      <x:c r="E2" s="157" t="n">
        <x:v>0</x:v>
      </x:c>
      <x:c r="F2" s="157" t="n">
        <x:v>0</x:v>
      </x:c>
      <x:c r="G2" s="172" t="n">
        <x:v>0.069799</x:v>
      </x:c>
      <x:c r="H2" s="172" t="n">
        <x:v>0.488878</x:v>
      </x:c>
    </x:row>
  </x:sheetData>
  <x:pageMargins left="0.7" right="0.7" top="0.75" bottom="0.75" header="0.3" footer="0.3"/>
  <x:tableParts count="1">
    <x:tablePart xmlns:r="http://schemas.openxmlformats.org/officeDocument/2006/relationships" r:id="R7e42e14b2c304cdf"/>
  </x:tableParts>
</x:worksheet>
</file>